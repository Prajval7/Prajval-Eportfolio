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55218a1aace7b9e0/Desktop/"/>
    </mc:Choice>
  </mc:AlternateContent>
  <xr:revisionPtr revIDLastSave="0" documentId="8_{93F2854E-C16B-4067-8469-B72DC98F6596}" xr6:coauthVersionLast="47" xr6:coauthVersionMax="47" xr10:uidLastSave="{00000000-0000-0000-0000-000000000000}"/>
  <bookViews>
    <workbookView xWindow="-108" yWindow="-108" windowWidth="23256" windowHeight="12456" tabRatio="500" firstSheet="6" activeTab="9" xr2:uid="{00000000-000D-0000-FFFF-FFFF00000000}"/>
  </bookViews>
  <sheets>
    <sheet name="Overview" sheetId="1" r:id="rId1"/>
    <sheet name="ZEEL" sheetId="2" r:id="rId2"/>
    <sheet name="JAGRAN" sheetId="3" r:id="rId3"/>
    <sheet name="DBCORP" sheetId="4" r:id="rId4"/>
    <sheet name="Comparison" sheetId="5" r:id="rId5"/>
    <sheet name="Ratio Analysis" sheetId="6" r:id="rId6"/>
    <sheet name="DuPont_ZEEL" sheetId="7" r:id="rId7"/>
    <sheet name="DuPont_JAGRAN" sheetId="8" r:id="rId8"/>
    <sheet name="DuPont_DBCORP" sheetId="9" r:id="rId9"/>
    <sheet name="RedFlag_Analysis" sheetId="10" r:id="rId10"/>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9" l="1"/>
  <c r="F10" i="9" s="1"/>
  <c r="D10" i="9"/>
  <c r="C10" i="9"/>
  <c r="B10" i="9"/>
  <c r="E9" i="9"/>
  <c r="F9" i="9" s="1"/>
  <c r="D9" i="9"/>
  <c r="C9" i="9"/>
  <c r="B9" i="9"/>
  <c r="E8" i="9"/>
  <c r="F8" i="9" s="1"/>
  <c r="D8" i="9"/>
  <c r="C8" i="9"/>
  <c r="B8" i="9"/>
  <c r="E7" i="9"/>
  <c r="E11" i="9" s="1"/>
  <c r="D7" i="9"/>
  <c r="C7" i="9"/>
  <c r="B7" i="9"/>
  <c r="E6" i="9"/>
  <c r="D6" i="9"/>
  <c r="D11" i="9" s="1"/>
  <c r="C6" i="9"/>
  <c r="C11" i="9" s="1"/>
  <c r="B6" i="9"/>
  <c r="F6" i="9" s="1"/>
  <c r="F10" i="8"/>
  <c r="E10" i="8"/>
  <c r="D10" i="8"/>
  <c r="C10" i="8"/>
  <c r="B10" i="8"/>
  <c r="E9" i="8"/>
  <c r="F9" i="8" s="1"/>
  <c r="D9" i="8"/>
  <c r="C9" i="8"/>
  <c r="B9" i="8"/>
  <c r="E8" i="8"/>
  <c r="F8" i="8" s="1"/>
  <c r="D8" i="8"/>
  <c r="C8" i="8"/>
  <c r="B8" i="8"/>
  <c r="E7" i="8"/>
  <c r="D7" i="8"/>
  <c r="C7" i="8"/>
  <c r="B7" i="8"/>
  <c r="F7" i="8" s="1"/>
  <c r="E6" i="8"/>
  <c r="E11" i="8" s="1"/>
  <c r="D6" i="8"/>
  <c r="D11" i="8" s="1"/>
  <c r="C6" i="8"/>
  <c r="C11" i="8" s="1"/>
  <c r="B6" i="8"/>
  <c r="B11" i="8" s="1"/>
  <c r="E10" i="7"/>
  <c r="F10" i="7" s="1"/>
  <c r="D10" i="7"/>
  <c r="C10" i="7"/>
  <c r="B10" i="7"/>
  <c r="E9" i="7"/>
  <c r="F9" i="7" s="1"/>
  <c r="D9" i="7"/>
  <c r="C9" i="7"/>
  <c r="B9" i="7"/>
  <c r="E8" i="7"/>
  <c r="F8" i="7" s="1"/>
  <c r="D8" i="7"/>
  <c r="C8" i="7"/>
  <c r="B8" i="7"/>
  <c r="E7" i="7"/>
  <c r="E11" i="7" s="1"/>
  <c r="D7" i="7"/>
  <c r="C7" i="7"/>
  <c r="B7" i="7"/>
  <c r="E6" i="7"/>
  <c r="D6" i="7"/>
  <c r="D11" i="7" s="1"/>
  <c r="C6" i="7"/>
  <c r="C11" i="7" s="1"/>
  <c r="B6" i="7"/>
  <c r="F6" i="7" s="1"/>
  <c r="M27" i="6"/>
  <c r="L27" i="6"/>
  <c r="K27" i="6"/>
  <c r="I27" i="6"/>
  <c r="H27" i="6"/>
  <c r="G27" i="6"/>
  <c r="E27" i="6"/>
  <c r="D27" i="6"/>
  <c r="C27" i="6"/>
  <c r="M26" i="6"/>
  <c r="L26" i="6"/>
  <c r="K26" i="6"/>
  <c r="I26" i="6"/>
  <c r="H26" i="6"/>
  <c r="G26" i="6"/>
  <c r="E26" i="6"/>
  <c r="D26" i="6"/>
  <c r="C26" i="6"/>
  <c r="M25" i="6"/>
  <c r="L25" i="6"/>
  <c r="K25" i="6"/>
  <c r="I25" i="6"/>
  <c r="H25" i="6"/>
  <c r="G25" i="6"/>
  <c r="E25" i="6"/>
  <c r="D25" i="6"/>
  <c r="C25" i="6"/>
  <c r="M22" i="6"/>
  <c r="L22" i="6"/>
  <c r="K22" i="6"/>
  <c r="J22" i="6"/>
  <c r="I22" i="6"/>
  <c r="H22" i="6"/>
  <c r="G22" i="6"/>
  <c r="F22" i="6"/>
  <c r="E22" i="6"/>
  <c r="D22" i="6"/>
  <c r="C22" i="6"/>
  <c r="B22" i="6"/>
  <c r="M21" i="6"/>
  <c r="L21" i="6"/>
  <c r="K21" i="6"/>
  <c r="J21" i="6"/>
  <c r="I21" i="6"/>
  <c r="H21" i="6"/>
  <c r="G21" i="6"/>
  <c r="F21" i="6"/>
  <c r="E21" i="6"/>
  <c r="D21" i="6"/>
  <c r="C21" i="6"/>
  <c r="B21" i="6"/>
  <c r="M18" i="6"/>
  <c r="L18" i="6"/>
  <c r="K18" i="6"/>
  <c r="J18" i="6"/>
  <c r="I18" i="6"/>
  <c r="H18" i="6"/>
  <c r="G18" i="6"/>
  <c r="F18" i="6"/>
  <c r="E18" i="6"/>
  <c r="D18" i="6"/>
  <c r="C18" i="6"/>
  <c r="B18" i="6"/>
  <c r="M17" i="6"/>
  <c r="L17" i="6"/>
  <c r="K17" i="6"/>
  <c r="J17" i="6"/>
  <c r="I17" i="6"/>
  <c r="H17" i="6"/>
  <c r="G17" i="6"/>
  <c r="F17" i="6"/>
  <c r="E17" i="6"/>
  <c r="D17" i="6"/>
  <c r="C17" i="6"/>
  <c r="B17" i="6"/>
  <c r="M16" i="6"/>
  <c r="L16" i="6"/>
  <c r="K16" i="6"/>
  <c r="J16" i="6"/>
  <c r="I16" i="6"/>
  <c r="H16" i="6"/>
  <c r="G16" i="6"/>
  <c r="F16" i="6"/>
  <c r="E16" i="6"/>
  <c r="D16" i="6"/>
  <c r="C16" i="6"/>
  <c r="B16" i="6"/>
  <c r="M15" i="6"/>
  <c r="L15" i="6"/>
  <c r="K15" i="6"/>
  <c r="J15" i="6"/>
  <c r="I15" i="6"/>
  <c r="H15" i="6"/>
  <c r="G15" i="6"/>
  <c r="F15" i="6"/>
  <c r="E15" i="6"/>
  <c r="D15" i="6"/>
  <c r="C15" i="6"/>
  <c r="B15" i="6"/>
  <c r="M14" i="6"/>
  <c r="L14" i="6"/>
  <c r="K14" i="6"/>
  <c r="J14" i="6"/>
  <c r="I14" i="6"/>
  <c r="H14" i="6"/>
  <c r="G14" i="6"/>
  <c r="F14" i="6"/>
  <c r="E14" i="6"/>
  <c r="D14" i="6"/>
  <c r="C14" i="6"/>
  <c r="B14" i="6"/>
  <c r="M11" i="6"/>
  <c r="L11" i="6"/>
  <c r="K11" i="6"/>
  <c r="J11" i="6"/>
  <c r="I11" i="6"/>
  <c r="H11" i="6"/>
  <c r="G11" i="6"/>
  <c r="F11" i="6"/>
  <c r="E11" i="6"/>
  <c r="D11" i="6"/>
  <c r="C11" i="6"/>
  <c r="B11" i="6"/>
  <c r="M10" i="6"/>
  <c r="L10" i="6"/>
  <c r="K10" i="6"/>
  <c r="J10" i="6"/>
  <c r="I10" i="6"/>
  <c r="H10" i="6"/>
  <c r="G10" i="6"/>
  <c r="F10" i="6"/>
  <c r="E10" i="6"/>
  <c r="D10" i="6"/>
  <c r="C10" i="6"/>
  <c r="B10" i="6"/>
  <c r="M9" i="6"/>
  <c r="L9" i="6"/>
  <c r="K9" i="6"/>
  <c r="J9" i="6"/>
  <c r="I9" i="6"/>
  <c r="H9" i="6"/>
  <c r="G9" i="6"/>
  <c r="F9" i="6"/>
  <c r="E9" i="6"/>
  <c r="D9" i="6"/>
  <c r="C9" i="6"/>
  <c r="B9" i="6"/>
  <c r="M8" i="6"/>
  <c r="L8" i="6"/>
  <c r="K8" i="6"/>
  <c r="J8" i="6"/>
  <c r="I8" i="6"/>
  <c r="H8" i="6"/>
  <c r="G8" i="6"/>
  <c r="F8" i="6"/>
  <c r="E8" i="6"/>
  <c r="D8" i="6"/>
  <c r="C8" i="6"/>
  <c r="B8" i="6"/>
  <c r="M7" i="6"/>
  <c r="L7" i="6"/>
  <c r="K7" i="6"/>
  <c r="J7" i="6"/>
  <c r="I7" i="6"/>
  <c r="H7" i="6"/>
  <c r="G7" i="6"/>
  <c r="F7" i="6"/>
  <c r="E7" i="6"/>
  <c r="D7" i="6"/>
  <c r="C7" i="6"/>
  <c r="B7" i="6"/>
  <c r="M6" i="6"/>
  <c r="L6" i="6"/>
  <c r="K6" i="6"/>
  <c r="J6" i="6"/>
  <c r="I6" i="6"/>
  <c r="H6" i="6"/>
  <c r="G6" i="6"/>
  <c r="F6" i="6"/>
  <c r="E6" i="6"/>
  <c r="D6" i="6"/>
  <c r="C6" i="6"/>
  <c r="B6" i="6"/>
  <c r="E27" i="5"/>
  <c r="D27" i="5"/>
  <c r="C27" i="5"/>
  <c r="B27" i="5"/>
  <c r="E26" i="5"/>
  <c r="D26" i="5"/>
  <c r="C26" i="5"/>
  <c r="B26" i="5"/>
  <c r="E25" i="5"/>
  <c r="D25" i="5"/>
  <c r="C25" i="5"/>
  <c r="B25" i="5"/>
  <c r="E22" i="5"/>
  <c r="D22" i="5"/>
  <c r="C22" i="5"/>
  <c r="B22" i="5"/>
  <c r="E21" i="5"/>
  <c r="D21" i="5"/>
  <c r="C21" i="5"/>
  <c r="B21" i="5"/>
  <c r="E20" i="5"/>
  <c r="D20" i="5"/>
  <c r="C20" i="5"/>
  <c r="B20" i="5"/>
  <c r="E17" i="5"/>
  <c r="D17" i="5"/>
  <c r="C17" i="5"/>
  <c r="B17" i="5"/>
  <c r="E16" i="5"/>
  <c r="D16" i="5"/>
  <c r="C16" i="5"/>
  <c r="B16" i="5"/>
  <c r="E15" i="5"/>
  <c r="D15" i="5"/>
  <c r="C15" i="5"/>
  <c r="B15" i="5"/>
  <c r="E12" i="5"/>
  <c r="D12" i="5"/>
  <c r="C12" i="5"/>
  <c r="B12" i="5"/>
  <c r="E11" i="5"/>
  <c r="D11" i="5"/>
  <c r="C11" i="5"/>
  <c r="B11" i="5"/>
  <c r="E10" i="5"/>
  <c r="D10" i="5"/>
  <c r="C10" i="5"/>
  <c r="B10" i="5"/>
  <c r="E7" i="5"/>
  <c r="D7" i="5"/>
  <c r="C7" i="5"/>
  <c r="B7" i="5"/>
  <c r="E6" i="5"/>
  <c r="D6" i="5"/>
  <c r="C6" i="5"/>
  <c r="B6" i="5"/>
  <c r="E5" i="5"/>
  <c r="D5" i="5"/>
  <c r="C5" i="5"/>
  <c r="B5" i="5"/>
  <c r="F14" i="4"/>
  <c r="E14" i="4"/>
  <c r="D14" i="4"/>
  <c r="G12" i="4"/>
  <c r="G11" i="4"/>
  <c r="G10" i="4"/>
  <c r="G8" i="4"/>
  <c r="G7" i="4"/>
  <c r="G6" i="4"/>
  <c r="G5" i="4"/>
  <c r="F14" i="3"/>
  <c r="E14" i="3"/>
  <c r="D14" i="3"/>
  <c r="G12" i="3"/>
  <c r="G11" i="3"/>
  <c r="G10" i="3"/>
  <c r="G8" i="3"/>
  <c r="G7" i="3"/>
  <c r="G6" i="3"/>
  <c r="G5" i="3"/>
  <c r="F14" i="2"/>
  <c r="E14" i="2"/>
  <c r="D14" i="2"/>
  <c r="G12" i="2"/>
  <c r="G11" i="2"/>
  <c r="G10" i="2"/>
  <c r="G8" i="2"/>
  <c r="G7" i="2"/>
  <c r="G6" i="2"/>
  <c r="G5" i="2"/>
  <c r="F11" i="8" l="1"/>
  <c r="F7" i="7"/>
  <c r="F7" i="9"/>
  <c r="F6" i="8"/>
  <c r="B11" i="9"/>
  <c r="F11" i="9" s="1"/>
  <c r="B11" i="7"/>
  <c r="F11" i="7" s="1"/>
</calcChain>
</file>

<file path=xl/sharedStrings.xml><?xml version="1.0" encoding="utf-8"?>
<sst xmlns="http://schemas.openxmlformats.org/spreadsheetml/2006/main" count="574" uniqueCount="334">
  <si>
    <t>FINANCIAL STATEMENT ANALYSIS — INDIA MEDIA INDUSTRY</t>
  </si>
  <si>
    <t>FY2020 to FY2024  |  All figures in INR Crore  |  Source: StockAnalysis.com / S&amp;P Global / Company Annual Reports</t>
  </si>
  <si>
    <t>Company</t>
  </si>
  <si>
    <t>Tier</t>
  </si>
  <si>
    <t>NSE Ticker</t>
  </si>
  <si>
    <t>FY2024 Revenue (₹ Cr)</t>
  </si>
  <si>
    <t>Zee Entertainment Enterprises Ltd</t>
  </si>
  <si>
    <t>Leader</t>
  </si>
  <si>
    <t>ZEEL</t>
  </si>
  <si>
    <t>8,767</t>
  </si>
  <si>
    <t>Jagran Prakashan Ltd</t>
  </si>
  <si>
    <t>Mid-size</t>
  </si>
  <si>
    <t>JAGRAN</t>
  </si>
  <si>
    <t>1,934</t>
  </si>
  <si>
    <t>D.B. Corp Ltd (Dainik Bhaskar)</t>
  </si>
  <si>
    <t>Underdog</t>
  </si>
  <si>
    <t>DBCORP</t>
  </si>
  <si>
    <t>2,407</t>
  </si>
  <si>
    <t xml:space="preserve">  INDUSTRY OVERVIEW</t>
  </si>
  <si>
    <t>India's digital media industry is going through a structural shift. Print is declining, OTT and digital news are growing fast and advertising money is following eyeballs online. The sector has three distinct tiers — large conglomerates with diversified revenue, mid-size players building digital-first models, and smaller challengers surviving on niche content or subscriptions.</t>
  </si>
  <si>
    <t xml:space="preserve">  1.  LEADER — Zee Entertainment Enterprises Ltd (NSE: ZEEL)</t>
  </si>
  <si>
    <t>Listed on NSE/BSE. One of India's largest media conglomerates with digital arm ZEE5. Five years of clean audited financials available. Revenue scale, debt history and the Sony merger saga make it rich territory for red flag analysis. Profitability ratios moved significantly — good for interpretation.</t>
  </si>
  <si>
    <t xml:space="preserve">  2.  MID-SIZE — Jagran Prakashan Ltd (NSE: JAGRAN)</t>
  </si>
  <si>
    <t>Listed company, primarily print but has a meaningful and growing digital presence. Revenue is stable enough to show efficiency ratios clearly but the print-to-digital transition creates interesting margin pressure — good for DuPont trend work.</t>
  </si>
  <si>
    <t xml:space="preserve">  3.  UNDERDOG — D.B. Corp Ltd / Dainik Bhaskar (NSE: DBCORP)</t>
  </si>
  <si>
    <t>Also listed. Runs Dainik Bhaskar which is print-heavy but has been aggressively pushing digital. Smaller market cap, operates in competitive regional markets. Cash flow vs profit dynamics here are genuinely interesting. Data fully available on BSE and Screener.</t>
  </si>
  <si>
    <t xml:space="preserve">  NOTES &amp; DATA CONVENTIONS</t>
  </si>
  <si>
    <t>• All values in INR Crore (1 Crore = 10 million INR). Data converted from millions INR to Crore by dividing by 10.</t>
  </si>
  <si>
    <t>• FY2020 data not available (source covers FY2021 onwards). Marked as N/A. Verify from BSE annual reports.</t>
  </si>
  <si>
    <t>• EBIT = Operating Income as reported. EBT = Pretax Income as reported. Net Profit = Net Income to Common.</t>
  </si>
  <si>
    <t>• Debt = Total Short-Term Debt + Current Portion of LTD + Long-Term Debt (excluding lease liabilities).</t>
  </si>
  <si>
    <t>• Equity = Total Common Equity (shareholders equity excluding minority interest).</t>
  </si>
  <si>
    <t>• Data Source: StockAnalysis.com (S&amp;P Global Market Intelligence). Cross-verify with BSE filings.</t>
  </si>
  <si>
    <t>• Blue text = hardcoded inputs.  Black text = formulas.  Green text = cross-sheet references.</t>
  </si>
  <si>
    <t>Zee Entertainment Enterprises Ltd  |  Leader  |  NSE: ZEEL</t>
  </si>
  <si>
    <t>Financial Statement Analysis — FY2020 to FY2024  |  Values in INR Crore</t>
  </si>
  <si>
    <t>Metric</t>
  </si>
  <si>
    <t>FY2020</t>
  </si>
  <si>
    <t>FY2021</t>
  </si>
  <si>
    <t>FY2022</t>
  </si>
  <si>
    <t>FY2023</t>
  </si>
  <si>
    <t>FY2024</t>
  </si>
  <si>
    <t>5Y CAGR (FY20→FY24)</t>
  </si>
  <si>
    <t xml:space="preserve">  INCOME STATEMENT</t>
  </si>
  <si>
    <t>Revenue (₹ Cr)</t>
  </si>
  <si>
    <t>N/A</t>
  </si>
  <si>
    <t>EBIT — Operating Income</t>
  </si>
  <si>
    <t>EBT — Pretax Income</t>
  </si>
  <si>
    <t>Net Profit</t>
  </si>
  <si>
    <t xml:space="preserve">  BALANCE SHEET</t>
  </si>
  <si>
    <t>Total Assets (₹ Cr)</t>
  </si>
  <si>
    <t>Equity (₹ Cr)</t>
  </si>
  <si>
    <t>Debt (₹ Cr)</t>
  </si>
  <si>
    <t xml:space="preserve">  REVENUE YEAR-ON-YEAR GROWTH</t>
  </si>
  <si>
    <t>YoY Revenue Growth (%)</t>
  </si>
  <si>
    <t>—</t>
  </si>
  <si>
    <t>Source: StockAnalysis.com (S&amp;P Global Market Intelligence) | Company Annual Reports on BSE | FY2020 data to be verified from BSE filings.</t>
  </si>
  <si>
    <t>Jagran Prakashan Ltd  |  Mid-size  |  NSE: JAGRAN</t>
  </si>
  <si>
    <t>D.B. Corp Ltd (Dainik Bhaskar)  |  Underdog  |  NSE: DBCORP</t>
  </si>
  <si>
    <t>CONSOLIDATED COMPARISON — ALL 3 COMPANIES</t>
  </si>
  <si>
    <t>FY2021 to FY2024  |  INR Crore  |  FY2020 excluded (data not available)</t>
  </si>
  <si>
    <t>Metric / Company</t>
  </si>
  <si>
    <t xml:space="preserve">  REVENUE (₹ Crore)</t>
  </si>
  <si>
    <t>Zee Entertainment</t>
  </si>
  <si>
    <t>Jagran Prakashan</t>
  </si>
  <si>
    <t>DB Corp</t>
  </si>
  <si>
    <t xml:space="preserve">  NET PROFIT (₹ Crore)</t>
  </si>
  <si>
    <t xml:space="preserve">  TOTAL ASSETS (₹ Crore)</t>
  </si>
  <si>
    <t xml:space="preserve">  EQUITY (₹ Crore)</t>
  </si>
  <si>
    <t xml:space="preserve">  DEBT (₹ Crore)</t>
  </si>
  <si>
    <t>RATIO ANALYSIS — INDIA MEDIA INDUSTRY  |  FY2021–FY2024  |  INR Crore</t>
  </si>
  <si>
    <t>Color Convention:  Blue = Hardcoded inputs  |  Black = Formulas  |  Green = Cross-sheet references</t>
  </si>
  <si>
    <t>ZEE ENTERTAINMENT (ZEEL)</t>
  </si>
  <si>
    <t>JAGRAN PRAKASHAN</t>
  </si>
  <si>
    <t>DB CORP (DBCORP)</t>
  </si>
  <si>
    <t>INTERPRETATION</t>
  </si>
  <si>
    <t>Ratio</t>
  </si>
  <si>
    <t>Root Cause &amp; Analysis</t>
  </si>
  <si>
    <t xml:space="preserve">  PROFITABILITY RATIOS</t>
  </si>
  <si>
    <t>EBIT Margin</t>
  </si>
  <si>
    <t>ZEEL: Collapsed 27.4%→8.3%. Root cause: Failed Sony merger (CCI blocked Jan 2024) created massive legal costs + OTT competition (JioCinema, Hotstar) eroded ad revenue. JAGRAN: Recovered 7.7%→13.3%. Print ad bounce post-COVID + newsprint cost stabilisation. DBCORP: Best performer 12.8%→21.8%. Regional market dominance shielded from OTT pressure; newsprint costs fell from FY23 peak.</t>
  </si>
  <si>
    <t>Net Profit Margin</t>
  </si>
  <si>
    <t>ZEEL: Freefall 10.3%→1.6%. FY23 near-breakeven due to Sony merger costs + ZEE5 content impairment charges. JAGRAN: Healthy recovery 6.9%→9.5%. Print ad recovery + cost control offset digital drag. DBCORP: Most dramatic turnaround 9.4%→17.7%. FY24: ₹425 Cr net profit vs ₹141 Cr in FY21. Ad volume recovery + newsprint tailwind + zero M&amp;A distraction.</t>
  </si>
  <si>
    <t>EBT Margin</t>
  </si>
  <si>
    <t>ZEEL: Declined 16.2%→4.3%, reflecting both operating pressure AND below-EBIT hits (investment losses, forex, impairments). JAGRAN: Improved 8.3%→11.5%, aided by other income contributions and lower interest costs. DBCORP: Soared 12.8%→23.5% — above EBIT margin, indicating treasury/investment income also contributed positively in FY24.</t>
  </si>
  <si>
    <t>Return on Assets</t>
  </si>
  <si>
    <t>ZEEL: Collapsed 6.2%→1.1%. Assets grew (content+tech) but profits crashed — ROA destruction. JAGRAN: Improved 3.0%→6.4%. Leaner asset base (₹2988→₹2851 Cr) while profits stayed strong = efficient asset use. DBCORP: Jumped 5.7%→14.2%. Best ROA trajectory. Asset base grew (₹2476→₹2993 Cr) but profit grew faster. Clear winner in asset productivity.</t>
  </si>
  <si>
    <t>Return on Equity</t>
  </si>
  <si>
    <t>ZEEL: Fell sharply 7.9%→1.3%. Equity base stable (~₹10,800 Cr) but profits near zero — shareholders barely earned above bank FD rates. JAGRAN: Rose 4.0%→8.8%. Consistent improvement; equity shrank slightly (buybacks/dividends) while profits held. DBCORP: Skyrocketed 7.8%→19.1%. Equity grew moderately but profit tripled. Investors rewarded significantly.</t>
  </si>
  <si>
    <t>Asset Turnover</t>
  </si>
  <si>
    <t>ZEEL: Low 0.60–0.65x — large content library + goodwill inflate assets relative to revenue. JAGRAN: Improved 0.43x→0.68x. Shrinking asset base + growing revenue = significant efficiency gain; non-core assets disposed. DBCORP: Rising 0.61x→0.80x. Best and improving. Lean balance sheet + strong revenue growth. Operational efficiency leader.</t>
  </si>
  <si>
    <t xml:space="preserve">  SOLVENCY / LEVERAGE RATIOS</t>
  </si>
  <si>
    <t>Debt-to-Equity</t>
  </si>
  <si>
    <t>ZEEL: ~0.04x in FY21 (near debt-free) → 0.017x FY24. FY23 spike to 0.026x due to short-term borrowings during merger uncertainty. JAGRAN: Rose worryingly 0.02x→0.09x FY23 (digital capex), reduced to 0.04x FY24 — prudent deleveraging. DBCORP: Near debt-free; fell 0.03x→0.01x. Strong internal cash generation. Zero external borrowing = excellent financial discipline.</t>
  </si>
  <si>
    <t>Debt-to-Assets</t>
  </si>
  <si>
    <t>ZEEL: Stable low 0.01–0.03x. Pristine balance sheet on leverage metric. JAGRAN: Spiked FY23 (0.07x) — temporary digital investment phase; normalised FY24. DBCORP: Negligible across all years (0.008x FY24). Revenue grew strongly while debt almost vanished. Most sustainable revenue-to-debt profile.</t>
  </si>
  <si>
    <t>Equity Ratio</t>
  </si>
  <si>
    <t>ZEEL: Consistently high 78–82%. Self-funded company. JAGRAN: Dropped slightly 74%→73% due to debt pickup, but still very equity-heavy. DBCORP: Improved 73.6%→74.3%. Equity base growing (retained profits) while assets also grow. Sustainably capitalised.</t>
  </si>
  <si>
    <t>Interest Coverage</t>
  </si>
  <si>
    <t>Note: Implicit interest = EBIT − EBT. ZEEL: Coverage compressed as EBIT fell; below-line charges from failed Sony merger widened gap. JAGRAN: Comfortable coverage by FY24 — EBIT grew faster than interest costs. DBCORP: Very high coverage — FY24 EBIT ₹524 Cr vs minimal debt costs. Near-zero interest burden reinforces financial strength.</t>
  </si>
  <si>
    <t>Debt-to-Revenue</t>
  </si>
  <si>
    <t>ZEEL: Low 0.02–0.03x but slightly rising relative to revenue trends. JAGRAN: Spike FY23 (0.11x) — debt funded digital/capex but revenue growth absorbed it back to 0.04x FY24. DBCORP: Negligible (0.009x FY24). Revenue grew strongly while debt almost vanished. Most sustainable profile in cohort.</t>
  </si>
  <si>
    <t xml:space="preserve">  EFFICIENCY RATIOS</t>
  </si>
  <si>
    <t>Revenue per Asset</t>
  </si>
  <si>
    <t>Identical to Asset Turnover. DBCORP leads at 0.80x; ZEEL lags at 0.65x due to heavy content assets. JAGRAN mid-tier at 0.68x but best trajectory (was 0.43x in FY21 — massive efficiency gain over 4 years).</t>
  </si>
  <si>
    <t>Equity Multiplier</t>
  </si>
  <si>
    <t>All three are low-multiplier companies (1.2–1.35x) = conservative, equity-financed. ZEEL: 1.24x FY24 — very low leverage. JAGRAN: 1.36x — slightly higher due to debt pickup. DBCORP: 1.35x — well-managed. Low multiplier is GOOD for media companies with volatile advertising revenue cycles.</t>
  </si>
  <si>
    <t xml:space="preserve">  GROWTH RATIOS (Year-on-Year %)</t>
  </si>
  <si>
    <t>Revenue Growth</t>
  </si>
  <si>
    <t>ZEEL: Volatile. FY22: +7.5%, FY23: −1.7% (merger chaos), FY24: +7.3% — recovery. No consistent growth story. JAGRAN: Strong recovery. FY22: +25.3%, FY23: +14.9%, FY24: +4.2% — moderating but positive. Secular print concern. DBCORP: Consistent outperformer. FY22: +17.3%, FY23: +20.4%, FY24: +12.9%. Regional advertising market proved resilient. Best growth record.</t>
  </si>
  <si>
    <t>Net Profit Growth</t>
  </si>
  <si>
    <t>ZEEL: Extremely volatile. FY22: +20.6%, FY23: −95.0% (near wipeout), FY24: +195.8% (recovery from low base). JAGRAN: FY22: +150.3% (post-COVID snap-back), FY23: −10.2%, FY24: −8.1% — profit sliding despite revenue growth. DBCORP: FY22: +0.8%, FY23: +18.6%, FY24: +151.6% — exceptional! Profit tripled in FY24. Operating leverage kicked in massively.</t>
  </si>
  <si>
    <t>EBIT Growth</t>
  </si>
  <si>
    <t>ZEEL: FY22: −20.7%, FY23: −48.3%, FY24: −16.2% — structural operating profit decline. Content costs + lower ad yields. JAGRAN: FY22: +142.1%, FY23: −8.6%, FY24: +16.5% — FY24 recovery encouraging. DBCORP: FY22: +5.0%, FY23: +11.1%, FY24: +133.0% — explosive FY24 EBIT growth. Revenue scale + newsprint cost moderation = operating leverage realised.</t>
  </si>
  <si>
    <t>5-STEP DuPont ANALYSIS  —  Zee Entertainment Enterprises Ltd  |  Leader</t>
  </si>
  <si>
    <t>FY2021–FY2024  |  ROE decomposed into 5 drivers  |  All formulas live — referencing source data sheets</t>
  </si>
  <si>
    <t>ROE  =  Tax Burden × Interest Burden × EBIT Margin × Asset Turnover × Equity Multiplier</t>
  </si>
  <si>
    <t>(Net Profit / EBT)  ×  (EBT / EBIT)  ×  (EBIT / Revenue)  ×  (Revenue / Assets)  ×  (Assets / Equity)</t>
  </si>
  <si>
    <t>DuPont Component</t>
  </si>
  <si>
    <t>4Y Trend</t>
  </si>
  <si>
    <t>Interpretation</t>
  </si>
  <si>
    <t>① Tax Burden  (Net Profit / EBT)</t>
  </si>
  <si>
    <t>Tax burden fell sharply in FY23 as lower EBT made effective tax rates appear volatile. Recovery in FY24 is modest — tax efficiency is a function of profitability scale rather than planning.</t>
  </si>
  <si>
    <t>② Interest Burden  (EBT / EBIT)</t>
  </si>
  <si>
    <t>ZEEL's interest burden fell 0.59x→0.52x, indicating non-operating charges (write-offs, provisions from the failed Sony merger) are widening the gap between EBIT and EBT. A ratio below 1.0x captures more than just interest — it includes below-the-line charges eating into operating profit.</t>
  </si>
  <si>
    <t>③ EBIT Margin  (EBIT / Revenue)</t>
  </si>
  <si>
    <t>EBIT margin is the single most important driver of ZEEL's ROE deterioration. Fell 27.4%→8.3% — a structural collapse. Content cost inflation, ZEE5 digital investment, and Sony merger disruption all contributed. This is the lever ZEEL must fix to restore meaningful ROE.</t>
  </si>
  <si>
    <t>④ Asset Turnover  (Revenue / Total Assets)</t>
  </si>
  <si>
    <t>Asset turnover improved modestly 0.60x→0.65x. ZEEL's large content library and intangible asset base structurally limits turnover — assets grow as content is commissioned while revenue growth is uneven. FY24 improvement as assets contracted is a positive signal but insufficient to offset margin collapse.</t>
  </si>
  <si>
    <t>⑤ Equity Multiplier  (Total Assets / Equity)</t>
  </si>
  <si>
    <t>Equity multiplier of ~1.24x reflects ZEEL's extremely conservative capital structure — almost entirely equity-funded. Low leverage is double-edged: it protects against distress but limits ROE amplification. A multiplier of 2.0x would double ZEEL's ROE without changing operating performance.</t>
  </si>
  <si>
    <t>ROE  =  ① × ② × ③ × ④ × ⑤</t>
  </si>
  <si>
    <t>ZEEL's ROE collapsed 7.9%→0.4% (FY23) and barely recovered to 1.3% (FY24). DuPont makes the cause unambiguous: primary culprit is EBIT margin destruction (−19 pp). Asset turnover improved slightly and equity multiplier is stable. ZEEL needs margin recovery above all else — no amount of balance sheet restructuring fixes a business with 8% EBIT margins on a largely equity-funded capital base.</t>
  </si>
  <si>
    <t xml:space="preserve">  ROE DRIVER ANALYSIS  —  Primary / Secondary / Negligible contribution to ROE change FY2021 → FY2024</t>
  </si>
  <si>
    <t>Driver</t>
  </si>
  <si>
    <t>Classification</t>
  </si>
  <si>
    <t>Commentary</t>
  </si>
  <si>
    <t>PRIMARY DRIVER</t>
  </si>
  <si>
    <t>Fell from 27.4% to 8.3% — responsible for ~80% of ROE destruction. Content costs and digital transition costs are the core problem.</t>
  </si>
  <si>
    <t>Tax Burden</t>
  </si>
  <si>
    <t>SECONDARY</t>
  </si>
  <si>
    <t>Volatile due to low earnings base — not a structural driver in either direction.</t>
  </si>
  <si>
    <t>Interest Burden</t>
  </si>
  <si>
    <t>Below-the-line write-offs from merger widened EBT-EBIT gap. Needs monitoring.</t>
  </si>
  <si>
    <t>MINOR POSITIVE</t>
  </si>
  <si>
    <t>Improved from 0.60x to 0.65x — the only consistent positive contributor.</t>
  </si>
  <si>
    <t>NEGLIGIBLE</t>
  </si>
  <si>
    <t>Stable at ~1.24x. Conservative structure limits both risk and ROE amplification.</t>
  </si>
  <si>
    <t>5-STEP DuPont ANALYSIS  —  Jagran Prakashan Ltd  |  Mid-size</t>
  </si>
  <si>
    <t>Jagran's tax burden is consistent in the 0.79–0.82x range, reflecting a stable effective tax rate under normal operating conditions. The spike toward 0.8x in FY22 reflects strong pre-tax profits taxed at the standard corporate rate with limited deferred tax benefits.</t>
  </si>
  <si>
    <t>Interest burden close to 1.0x confirms Jagran's near-debt-free status. The ratio consistently at 1.07–1.08x means Jagran actually earns net other income above the EBIT line — interest received on its large cash reserves exceeds interest paid on minimal debt.</t>
  </si>
  <si>
    <t>EBIT margin recovered from a COVID-era trough of 7.7% (FY21) to 13.3% (FY24). The recovery demonstrates the operating leverage in Jagran's fixed-cost print model — incremental revenue flows through to EBIT at high rates. Margin stability is the primary positive driver of Jagran's ROE.</t>
  </si>
  <si>
    <t>Asset turnover improved significantly 0.43x→0.68x — the strongest improvement of any efficiency metric across any company. Jagran is generating far more revenue per rupee of assets as its balance sheet shrank and digital revenues added an asset-light revenue stream.</t>
  </si>
  <si>
    <t>Jagran's multiplier of 1.35x shows a very stable and conservative capital structure. Slightly higher than ZEEL due to more trade payables and provisions, but still extremely low leverage. Jagran has chosen equity safety over ROE amplification — reasonable in a structurally declining sector.</t>
  </si>
  <si>
    <t>Jagran's ROE improved 4.0%→9.5% (FY22 peak) before settling at 8.8% (FY24). DuPont shows two positive drivers: EBIT margin recovery (7.7%→13.3%) and asset turnover improvement (0.43x→0.68x). Both are genuine operational achievements. The equity multiplier is stable and low — Jagran could enhance ROE through modest leverage or buybacks, but has chosen conservatism.</t>
  </si>
  <si>
    <t>Improved from 7.7% to 13.3% — the key positive contributor to ROE recovery.</t>
  </si>
  <si>
    <t>Improved from 0.43x to 0.68x — strongest asset efficiency improvement in cohort.</t>
  </si>
  <si>
    <t>Above 1.0x (net other income positive) — small consistent positive.</t>
  </si>
  <si>
    <t>Stable at 0.79–0.82x across years. Not a swing factor.</t>
  </si>
  <si>
    <t>Stable at ~1.36x. Conservative balance sheet maintained throughout.</t>
  </si>
  <si>
    <t>5-STEP DuPont ANALYSIS  —  D.B. Corp Ltd (Dainik Bhaskar)  |  Underdog</t>
  </si>
  <si>
    <t>DB Corp maintains a steady tax burden near 0.75x, indicating a predictable tax structure with minimal use of deferred tax assets. The FY24 jump reflects the exceptional pre-tax profit year — higher profits taxed at full rates.</t>
  </si>
  <si>
    <t>DB Corp's interest burden above 1.0x in all years reflects the same dynamic as Jagran — interest income on cash reserves exceeds minimal interest expense. FY24's ratio of 1.08x means DB Corp's financial structure is additive to profitability rather than a drag.</t>
  </si>
  <si>
    <t>EBIT margin is DB Corp's star performer — surging 12.8%→21.8% (FY24). This is the dominant ROE driver and explains why DB Corp's FY24 ROE of 19.1% is the best in the cohort. Newsprint cost deflation combined with revenue growth produced exceptional operating leverage.</t>
  </si>
  <si>
    <t>DB Corp's asset turnover improved 0.61x→0.80x and is the highest in the cohort in FY24. Revenue scaling faster than asset growth reflects the efficiency of the regional print model. This is the second most important positive ROE driver after EBIT margin.</t>
  </si>
  <si>
    <t>DB Corp's equity multiplier of 1.36x is consistent and low. Like its peers, DB Corp runs on minimal leverage. The slight increase toward 1.35x reflects organic asset growth funded by retained earnings rather than debt. This conservatism limits ROE upside but ensures no financial distress risk.</t>
  </si>
  <si>
    <t>DB Corp's ROE surged 7.8%→19.1% (FY24) — the best performance in the cohort by a significant margin. DuPont reveals this is almost entirely driven by EBIT margin expansion (12.8%→21.8%) with strong support from asset turnover improvement (0.61x→0.80x). Tax and interest burden are stable. DB Corp's ROE story is a clean, high-quality earnings expansion — not leverage or financial engineering.</t>
  </si>
  <si>
    <t>Surged from 12.8% to 21.8% — responsible for ~75% of ROE expansion. Newsprint deflation + revenue growth.</t>
  </si>
  <si>
    <t>Improved from 0.61x to 0.80x — best in cohort, meaningful positive contributor.</t>
  </si>
  <si>
    <t>Consistently above 1.0x — cash reserves generate income that adds to pre-tax profit.</t>
  </si>
  <si>
    <t>Stable and predictable. Not a swing factor in ROE direction.</t>
  </si>
  <si>
    <t>Stable at ~1.35x. DB Corp does not use leverage to amplify returns.</t>
  </si>
  <si>
    <t>FINANCIAL RED FLAG ANALYSIS  —  ALL 3 COMPANIES  |  FY2021–FY2024</t>
  </si>
  <si>
    <t>Checks: Profit vs Cash Flow mismatch  |  Sudden spikes  |  Debt changes  |  Margin deterioration  |  Asset quality</t>
  </si>
  <si>
    <t>🔴 RED FLAG = Serious concern requiring investigation</t>
  </si>
  <si>
    <t>🟢 GREEN FLAG = Positive financial health indicator</t>
  </si>
  <si>
    <t xml:space="preserve">  SUPPLEMENTARY DATA — Operating Cash Flow (INR Crore)  |  Source: BSE Annual Reports</t>
  </si>
  <si>
    <t>Source</t>
  </si>
  <si>
    <t>Hardcoded from BSE annual reports. Update when new filings available.</t>
  </si>
  <si>
    <t xml:space="preserve">  Zee Entertainment Enterprises Ltd  |  Leader</t>
  </si>
  <si>
    <t>Flag / Category</t>
  </si>
  <si>
    <t>Verdict</t>
  </si>
  <si>
    <t>Deep Analysis</t>
  </si>
  <si>
    <t>🔴  Profit vs Cash Flow</t>
  </si>
  <si>
    <t>Net Profit vs OCF gap</t>
  </si>
  <si>
    <t>800 Cr</t>
  </si>
  <si>
    <t>965 Cr</t>
  </si>
  <si>
    <t>48 Cr</t>
  </si>
  <si>
    <t>141 Cr</t>
  </si>
  <si>
    <t>CONCERN</t>
  </si>
  <si>
    <t>Net profit and OCF diverged sharply in FY23. Net profit collapsed to ₹47.8 Cr while OCF also fell to ₹312 Cr — both declined simultaneously, confirming the profitability crisis was real and not a paper accounting issue. FY24 shows partial recovery with OCF ₹892 Cr far exceeding net profit ₹141 Cr — the gap suggests large non-cash charges (content amortisation) are suppressing reported profits below true cash earnings.</t>
  </si>
  <si>
    <t>OCF to Net Profit Ratio</t>
  </si>
  <si>
    <t>2.30x</t>
  </si>
  <si>
    <t>1.58x</t>
  </si>
  <si>
    <t>6.53x</t>
  </si>
  <si>
    <t>6.31x</t>
  </si>
  <si>
    <t>INVESTIGATE</t>
  </si>
  <si>
    <t>An OCF/NP ratio of 6.3x in FY24 means ZEEL generates ₹6.30 cash for every ₹1 of reported net profit. While high OCF is normally positive, this extreme ratio signals very large non-cash charges — primarily content library amortisation and write-offs. This is a double-edged flag: cash generation is healthy but content asset quality must be scrutinised for further impairment risk.</t>
  </si>
  <si>
    <t>🔴  Sudden Spike</t>
  </si>
  <si>
    <t>Net Profit Collapse FY22→FY23</t>
  </si>
  <si>
    <t>CRITICAL</t>
  </si>
  <si>
    <t>Net profit fell 95% in a single year — from ₹964.6 Cr to ₹47.8 Cr. The most extreme single-year profit collapse in the dataset. Primary causes: (1) exceptional write-offs from the collapsed Sony merger including advisory fees and asset impairments, (2) continued EBIT margin compression from content cost inflation, (3) absence of tax reversals that boosted FY22 profits. A 95% net profit decline in one year is a critical red flag regardless of cause.</t>
  </si>
  <si>
    <t>🔴  Margin Deterioration</t>
  </si>
  <si>
    <t>EBIT Margin 4-Year Decline</t>
  </si>
  <si>
    <t>27.4%</t>
  </si>
  <si>
    <t>20.2%</t>
  </si>
  <si>
    <t>10.6%</t>
  </si>
  <si>
    <t>8.3%</t>
  </si>
  <si>
    <t>ZEEL's EBIT margin fell 19.1 pp over four years — from 27.4% to 8.3%. Every single year shows decline. The combination of rising content costs (ZEE5 investment), failed merger disruption costs, and competitive pricing pressure from JioCinema and Hotstar has permanently impaired operating profitability.</t>
  </si>
  <si>
    <t>🟢  Debt &amp; Solvency</t>
  </si>
  <si>
    <t>Near-Zero Debt Throughout</t>
  </si>
  <si>
    <t>₹423 Cr</t>
  </si>
  <si>
    <t>₹76 Cr</t>
  </si>
  <si>
    <t>₹282 Cr</t>
  </si>
  <si>
    <t>₹181 Cr</t>
  </si>
  <si>
    <t>STRONG</t>
  </si>
  <si>
    <t>ZEEL maintained negligible debt across all four years despite severe profit stress. Debt/Equity never exceeded 0.04x. This conservative balance sheet is the primary reason ZEEL has not faced existential financial distress despite near-zero profitability. The debt-free structure means ZEEL can survive the current transition period without refinancing risk.</t>
  </si>
  <si>
    <t>🟢  Liquidity</t>
  </si>
  <si>
    <t>Current Ratio above 4.0x all years</t>
  </si>
  <si>
    <t>4.2x</t>
  </si>
  <si>
    <t>5.0x</t>
  </si>
  <si>
    <t>4.3x</t>
  </si>
  <si>
    <t>Despite profit collapse, ZEEL's short-term liquidity remained exceptional. The current ratio above 4.0x in every year confirms near-term obligations are fully covered. Note: a significant portion of current assets consists of content rights inventory — less liquid than cash — so headline ratios may overstate true short-term financial strength.</t>
  </si>
  <si>
    <t>🟢  Cash Generation</t>
  </si>
  <si>
    <t>OCF Recovery in FY2024</t>
  </si>
  <si>
    <t>₹1,842 Cr</t>
  </si>
  <si>
    <t>₹1,524 Cr</t>
  </si>
  <si>
    <t>₹312 Cr</t>
  </si>
  <si>
    <t>₹892 Cr</t>
  </si>
  <si>
    <t>POSITIVE</t>
  </si>
  <si>
    <t>Despite near-zero net profit in FY23-24, OCF recovered meaningfully to ₹892 Cr in FY24. This confirms that net profit weakness is significantly driven by non-cash accounting charges rather than genuine cash generation failure. The business continues to generate substantial operating cash — a fundamental indicator of underlying business viability that the income statement currently obscures.</t>
  </si>
  <si>
    <t xml:space="preserve">  Jagran Prakashan Ltd  |  Mid-size</t>
  </si>
  <si>
    <t>🟢  Profit vs Cash Flow</t>
  </si>
  <si>
    <t>OCF consistently above Net Profit</t>
  </si>
  <si>
    <t>₹286 Cr</t>
  </si>
  <si>
    <t>₹412 Cr</t>
  </si>
  <si>
    <t>₹389 Cr</t>
  </si>
  <si>
    <t>₹422 Cr</t>
  </si>
  <si>
    <t>Jagran's OCF consistently exceeds net profit every year, with OCF/NP ratios of 3.2x, 1.9x, 1.9x and 2.3x across FY21–FY24. This is a green flag of high earnings quality — reported profits are backed by real cash. Non-cash charges (depreciation on printing equipment) are the primary gap. Companies where OCF &gt; Net Profit tend to have higher earnings quality.</t>
  </si>
  <si>
    <t>Debt spike FY23: ₹55 Cr→₹199 Cr</t>
  </si>
  <si>
    <t>₹41 Cr</t>
  </si>
  <si>
    <t>₹55 Cr</t>
  </si>
  <si>
    <t>₹199 Cr</t>
  </si>
  <si>
    <t>₹86 Cr</t>
  </si>
  <si>
    <t>Debt tripled in FY23 — a 264% single-year increase for a company that had been essentially debt-free. Primarily attributable to short-term borrowings raised to fund a share buyback programme. While debt was repaid by FY24 (falling to ₹86 Cr), the decision to borrow for capital returns in a year of declining profits warrants scrutiny. Leveraging a balance sheet to buy back shares when earnings are falling is an aggressive capital allocation decision.</t>
  </si>
  <si>
    <t>Net Profit declining FY22→FY24</t>
  </si>
  <si>
    <t>₹89 Cr</t>
  </si>
  <si>
    <t>₹223 Cr</t>
  </si>
  <si>
    <t>₹200 Cr</t>
  </si>
  <si>
    <t>₹184 Cr</t>
  </si>
  <si>
    <t>MONITOR</t>
  </si>
  <si>
    <t>After peaking at ₹222.5 Cr in FY22, net profit has declined two consecutive years to ₹183.7 Cr in FY24 — a 17.5% decline from peak despite revenue growing 19.6% in the same period. This means costs are growing faster than revenues at the bottom of the P&amp;L. The print-to-digital transition is adding costs without proportional revenue — digital investment is dilutive to near-term profitability.</t>
  </si>
  <si>
    <t>Rapid debt repayment post-FY23</t>
  </si>
  <si>
    <t>Management demonstrated strong discipline by repaying 57% of FY23 debt within a single year using operating cash flows. This rapid deleveraging from ₹199 Cr back toward near-zero confirms the FY23 debt spike was tactical and temporary. The ability to generate ₹113 Cr of debt repayment in one year while maintaining dividends confirms the strength of Jagran's cash generation model.</t>
  </si>
  <si>
    <t>🟢  Cash Position</t>
  </si>
  <si>
    <t>Cash balance grew FY21→FY24</t>
  </si>
  <si>
    <t>₹343 Cr</t>
  </si>
  <si>
    <t>₹283 Cr</t>
  </si>
  <si>
    <t>₹497 Cr</t>
  </si>
  <si>
    <t>₹514 Cr</t>
  </si>
  <si>
    <t>Despite profit volatility and the buyback programme, Jagran's absolute cash balance grew from ₹342.5 Cr to ₹513.6 Cr over the four-year period. Cash at ₹514 Cr against current liabilities of ₹516 Cr gives a cash ratio of 1.0x — extraordinary financial conservatism. This cash hoard provides resilience against advertising downturns and optionality for digital investment.</t>
  </si>
  <si>
    <t>🟢  Efficiency</t>
  </si>
  <si>
    <t>DSO improving FY21→FY24</t>
  </si>
  <si>
    <t>135 days</t>
  </si>
  <si>
    <t>103 days</t>
  </si>
  <si>
    <t>95 days</t>
  </si>
  <si>
    <t>98 days</t>
  </si>
  <si>
    <t>Jagran reduced Days Sales Outstanding from 135 days to 98 days — a 37-day improvement in collection speed. This represents a meaningful working capital release of approximately ₹195 Cr at FY24 revenue levels. Improving DSO in a sector notorious for slow advertiser payments is a genuine operational achievement that strengthens cash generation quality.</t>
  </si>
  <si>
    <t xml:space="preserve">  D.B. Corp Ltd (Dainik Bhaskar)  |  Underdog</t>
  </si>
  <si>
    <t>OCF strongly exceeds Net Profit all years</t>
  </si>
  <si>
    <t>₹313 Cr</t>
  </si>
  <si>
    <t>₹782 Cr</t>
  </si>
  <si>
    <t>EXCELLENT</t>
  </si>
  <si>
    <t>DB Corp's OCF/NP ratios of 2.2x, 2.7x, 2.5x and 1.8x across the period demonstrate exceptional earnings quality. Every rupee of reported profit is backed by 1.8–2.7x in operating cash. FY24 is particularly noteworthy — net profit jumped 151.7% to ₹425.5 Cr while OCF also surged to ₹782 Cr. Both metrics improved together and proportionally, confirming that FY24's profit expansion was genuine and cash-backed, not an accounting artifact.</t>
  </si>
  <si>
    <t>🟢  Sudden Spike — Positive</t>
  </si>
  <si>
    <t>Net Profit surge FY23→FY24</t>
  </si>
  <si>
    <t>₹141 Cr</t>
  </si>
  <si>
    <t>₹143 Cr</t>
  </si>
  <si>
    <t>₹169 Cr</t>
  </si>
  <si>
    <t>₹426 Cr</t>
  </si>
  <si>
    <t>EXCEPTIONAL</t>
  </si>
  <si>
    <t>Net profit jumped 152% in a single year. Unusual enough to warrant investigation, but DuPont and ratio analysis confirms the cause is legitimate: (1) newsprint cost deflation released ₹200–250 Cr of gross margin, (2) revenue grew 12.9%, (3) operating leverage amplified the revenue gain into EBIT. Cash flow data corroborates the profit — this is genuine value creation, not accounting manipulation.</t>
  </si>
  <si>
    <t>Debt declining toward zero all years</t>
  </si>
  <si>
    <t>₹56 Cr</t>
  </si>
  <si>
    <t>₹23 Cr</t>
  </si>
  <si>
    <t>₹33 Cr</t>
  </si>
  <si>
    <t>DB Corp's debt fell from ₹56.3 Cr to ₹22.5 Cr over the period — virtually zero relative to its ₹2,225 Cr equity base. Debt/Equity of 0.01x in FY24 is the lowest in the cohort and confirms that DB Corp finances its business entirely from equity and operating cash flows. Zero financial leverage risk means DB Corp can withstand severe revenue downturns without refinancing pressure.</t>
  </si>
  <si>
    <t>Current Assets drop FY22→FY23</t>
  </si>
  <si>
    <t>₹1,124 Cr</t>
  </si>
  <si>
    <t>₹1,291 Cr</t>
  </si>
  <si>
    <t>₹954 Cr</t>
  </si>
  <si>
    <t>₹1,376 Cr</t>
  </si>
  <si>
    <t>Current assets fell sharply from ₹1,291 Cr to ₹954 Cr in FY23 — a ₹337 Cr decline. Driven primarily by cash reduction from ₹517 Cr to ₹198 Cr. The cash outflow in FY23 likely reflects a large dividend payment or capital return event. While the company recovered strongly in FY24, the magnitude of the single-year cash drawdown should be verified against the cash flow statement to rule out unannounced asset disposals or investment losses.</t>
  </si>
  <si>
    <t>🔴  Margin History</t>
  </si>
  <si>
    <t>EBIT Margin dipped FY22→FY23</t>
  </si>
  <si>
    <t>12.8%</t>
  </si>
  <si>
    <t>11.4%</t>
  </si>
  <si>
    <t>21.8%</t>
  </si>
  <si>
    <t>HISTORICAL CONCERN</t>
  </si>
  <si>
    <t>EBIT margin declined for two consecutive years (FY21–FY23) despite revenue growing 41% in the same period — meaning costs grew faster than revenues. The culprit was newsprint cost inflation. While FY24 reversed this dramatically, the episode reveals DB Corp's earnings vulnerability to commodity input costs it cannot control. Future newsprint inflation cycles could reproduce the FY21–2023 margin squeeze.</t>
  </si>
  <si>
    <t>DSO best in cohort FY2024</t>
  </si>
  <si>
    <t>125 days</t>
  </si>
  <si>
    <t>104 days</t>
  </si>
  <si>
    <t>84 days</t>
  </si>
  <si>
    <t>83 days</t>
  </si>
  <si>
    <t>DB Corp reduced DSO from 125 days to 83 days — the most dramatic collection improvement in the cohort and the fastest collection cycle in FY24. This 42-day improvement released approximately ₹275 Cr of working capital at FY24 revenue levels. Faster collection by a regional media company against predominantly local advertisers demonstrates strong market positioning and credit discipline that larger national media companies struggle to match.</t>
  </si>
  <si>
    <t>🟢  Asset Quality</t>
  </si>
  <si>
    <t>Total Assets growing efficiently</t>
  </si>
  <si>
    <t>₹2,476 Cr</t>
  </si>
  <si>
    <t>₹2,537 Cr</t>
  </si>
  <si>
    <t>₹2,579 Cr</t>
  </si>
  <si>
    <t>₹2,993 Cr</t>
  </si>
  <si>
    <t>DB Corp's total assets grew 20.9% over the period — moderate and organic growth funded entirely by retained earnings. More importantly, revenue grew 59.5% while assets grew 20.9%, meaning asset productivity improved dramatically. The asset base growth in FY24 was largely cash accumulation from exceptional operating performance — a high-quality form of asset expansion.</t>
  </si>
  <si>
    <t xml:space="preserve">  COMPARATIVE SUMMARY — Overall Financial Health Assessment</t>
  </si>
  <si>
    <t>Red Flags</t>
  </si>
  <si>
    <t>Green Flags</t>
  </si>
  <si>
    <t>Overall Assessment</t>
  </si>
  <si>
    <t>Key Risk</t>
  </si>
  <si>
    <t>Key Strength</t>
  </si>
  <si>
    <t>4 🔴</t>
  </si>
  <si>
    <t>3 🟢</t>
  </si>
  <si>
    <t>⚠️  STRESSED</t>
  </si>
  <si>
    <t>EBIT margin collapse — structural, not cyclical</t>
  </si>
  <si>
    <t>Near-zero debt and strong liquidity provide survival runway</t>
  </si>
  <si>
    <t>2 🔴</t>
  </si>
  <si>
    <t>4 🟢</t>
  </si>
  <si>
    <t>🟡  STABLE</t>
  </si>
  <si>
    <t>Net profit declining despite revenue growth</t>
  </si>
  <si>
    <t>OCF quality excellent — cash consistently backs profits</t>
  </si>
  <si>
    <t>D.B. Corp</t>
  </si>
  <si>
    <t>5 🟢</t>
  </si>
  <si>
    <t>✅  STRONG</t>
  </si>
  <si>
    <t>Commodity cost exposure to newsprint price cycles</t>
  </si>
  <si>
    <t>FY24 performance exceptional and fully cash-backed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</si>
</sst>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0.0%\);\-"/>
    <numFmt numFmtId="166" formatCode="0.00\x;\(0.00&quot;x)&quot;;\-"/>
    <numFmt numFmtId="167" formatCode="0.000\x;\(0.000&quot;x)&quot;;\-"/>
    <numFmt numFmtId="168" formatCode="0.0\x;\(0.0&quot;x)&quot;;\-"/>
    <numFmt numFmtId="169" formatCode="0.000;\(0.000\);\-"/>
    <numFmt numFmtId="170" formatCode="&quot;▲ &quot;0.0%;&quot;▼ (&quot;0.0%\);\-"/>
  </numFmts>
  <fonts count="35" x14ac:knownFonts="1">
    <font>
      <sz val="11"/>
      <color theme="1"/>
      <name val="Calibri"/>
      <family val="2"/>
      <charset val="1"/>
    </font>
    <font>
      <b/>
      <sz val="16"/>
      <color rgb="FFFFFFFF"/>
      <name val="Calibri"/>
      <family val="2"/>
    </font>
    <font>
      <i/>
      <sz val="10"/>
      <color rgb="FFFFFFFF"/>
      <name val="Calibri"/>
      <family val="2"/>
    </font>
    <font>
      <b/>
      <sz val="10"/>
      <color rgb="FFFFFFFF"/>
      <name val="Calibri"/>
      <family val="2"/>
    </font>
    <font>
      <b/>
      <sz val="10"/>
      <color rgb="FF000000"/>
      <name val="Calibri"/>
      <family val="2"/>
    </font>
    <font>
      <sz val="10"/>
      <color rgb="FF000000"/>
      <name val="Calibri"/>
      <family val="2"/>
    </font>
    <font>
      <b/>
      <sz val="11"/>
      <color rgb="FFFFFFFF"/>
      <name val="Calibri"/>
      <family val="2"/>
    </font>
    <font>
      <sz val="10"/>
      <name val="Calibri"/>
      <family val="2"/>
    </font>
    <font>
      <sz val="9"/>
      <color rgb="FF404040"/>
      <name val="Calibri"/>
      <family val="2"/>
    </font>
    <font>
      <b/>
      <sz val="13"/>
      <color rgb="FFFFFFFF"/>
      <name val="Calibri"/>
      <family val="2"/>
    </font>
    <font>
      <i/>
      <sz val="9"/>
      <color rgb="FFFFFFFF"/>
      <name val="Calibri"/>
      <family val="2"/>
    </font>
    <font>
      <b/>
      <sz val="10"/>
      <name val="Calibri"/>
      <family val="2"/>
    </font>
    <font>
      <i/>
      <sz val="10"/>
      <color rgb="FF808080"/>
      <name val="Calibri"/>
      <family val="2"/>
    </font>
    <font>
      <sz val="10"/>
      <color rgb="FF0000FF"/>
      <name val="Calibri"/>
      <family val="2"/>
    </font>
    <font>
      <sz val="10"/>
      <color rgb="FF808080"/>
      <name val="Calibri"/>
      <family val="2"/>
    </font>
    <font>
      <i/>
      <sz val="8"/>
      <color rgb="FF606060"/>
      <name val="Calibri"/>
      <family val="2"/>
    </font>
    <font>
      <b/>
      <sz val="14"/>
      <color rgb="FFFFFFFF"/>
      <name val="Calibri"/>
      <family val="2"/>
    </font>
    <font>
      <sz val="10"/>
      <color rgb="FF006400"/>
      <name val="Calibri"/>
      <family val="2"/>
    </font>
    <font>
      <b/>
      <sz val="9"/>
      <color rgb="FFFFFFFF"/>
      <name val="Calibri"/>
      <family val="2"/>
    </font>
    <font>
      <b/>
      <sz val="9"/>
      <name val="Calibri"/>
      <family val="2"/>
    </font>
    <font>
      <sz val="9"/>
      <color rgb="FF006400"/>
      <name val="Calibri"/>
      <family val="2"/>
    </font>
    <font>
      <sz val="8"/>
      <name val="Calibri"/>
      <family val="2"/>
    </font>
    <font>
      <i/>
      <sz val="9"/>
      <color rgb="FF808080"/>
      <name val="Calibri"/>
      <family val="2"/>
    </font>
    <font>
      <b/>
      <sz val="10"/>
      <color rgb="FF1B2A4A"/>
      <name val="Calibri"/>
      <family val="2"/>
    </font>
    <font>
      <i/>
      <sz val="9"/>
      <color rgb="FF404040"/>
      <name val="Calibri"/>
      <family val="2"/>
    </font>
    <font>
      <sz val="9"/>
      <color rgb="FF000000"/>
      <name val="Calibri"/>
      <family val="2"/>
    </font>
    <font>
      <b/>
      <sz val="8"/>
      <name val="Calibri"/>
      <family val="2"/>
    </font>
    <font>
      <b/>
      <sz val="9"/>
      <color rgb="FFC00000"/>
      <name val="Calibri"/>
      <family val="2"/>
    </font>
    <font>
      <b/>
      <sz val="9"/>
      <color rgb="FF000000"/>
      <name val="Calibri"/>
      <family val="2"/>
    </font>
    <font>
      <b/>
      <sz val="10"/>
      <color rgb="FFC00000"/>
      <name val="Calibri"/>
      <family val="2"/>
    </font>
    <font>
      <b/>
      <sz val="10"/>
      <color rgb="FF1E5631"/>
      <name val="Calibri"/>
      <family val="2"/>
    </font>
    <font>
      <sz val="9"/>
      <color rgb="FF0000FF"/>
      <name val="Calibri"/>
      <family val="2"/>
    </font>
    <font>
      <sz val="9"/>
      <color rgb="FFC00000"/>
      <name val="Calibri"/>
      <family val="2"/>
    </font>
    <font>
      <sz val="8"/>
      <color rgb="FF000000"/>
      <name val="Calibri"/>
      <family val="2"/>
    </font>
    <font>
      <sz val="9"/>
      <color rgb="FF1E5631"/>
      <name val="Calibri"/>
      <family val="2"/>
    </font>
  </fonts>
  <fills count="18">
    <fill>
      <patternFill patternType="none"/>
    </fill>
    <fill>
      <patternFill patternType="gray125"/>
    </fill>
    <fill>
      <patternFill patternType="solid">
        <fgColor rgb="FF1B2A4A"/>
        <bgColor rgb="FF2E4172"/>
      </patternFill>
    </fill>
    <fill>
      <patternFill patternType="solid">
        <fgColor rgb="FF2E4172"/>
        <bgColor rgb="FF404040"/>
      </patternFill>
    </fill>
    <fill>
      <patternFill patternType="solid">
        <fgColor rgb="FF4472C4"/>
        <bgColor rgb="FF5C6BC0"/>
      </patternFill>
    </fill>
    <fill>
      <patternFill patternType="solid">
        <fgColor rgb="FFEBF3FD"/>
        <bgColor rgb="FFF2F2F2"/>
      </patternFill>
    </fill>
    <fill>
      <patternFill patternType="solid">
        <fgColor rgb="FFFFFFFF"/>
        <bgColor rgb="FFFFFAF0"/>
      </patternFill>
    </fill>
    <fill>
      <patternFill patternType="solid">
        <fgColor rgb="FFF2F2F2"/>
        <bgColor rgb="FFEBF3FD"/>
      </patternFill>
    </fill>
    <fill>
      <patternFill patternType="solid">
        <fgColor rgb="FFFFFAF0"/>
        <bgColor rgb="FFFFFFFF"/>
      </patternFill>
    </fill>
    <fill>
      <patternFill patternType="solid">
        <fgColor rgb="FFFFF2CC"/>
        <bgColor rgb="FFFCE4D6"/>
      </patternFill>
    </fill>
    <fill>
      <patternFill patternType="solid">
        <fgColor rgb="FFD6E4F7"/>
        <bgColor rgb="FFE2EFDA"/>
      </patternFill>
    </fill>
    <fill>
      <patternFill patternType="solid">
        <fgColor rgb="FFE2EFDA"/>
        <bgColor rgb="FFF2F2F2"/>
      </patternFill>
    </fill>
    <fill>
      <patternFill patternType="solid">
        <fgColor rgb="FF2E7D32"/>
        <bgColor rgb="FF1E5631"/>
      </patternFill>
    </fill>
    <fill>
      <patternFill patternType="solid">
        <fgColor rgb="FFB85C00"/>
        <bgColor rgb="FFFF6600"/>
      </patternFill>
    </fill>
    <fill>
      <patternFill patternType="solid">
        <fgColor rgb="FF5C6BC0"/>
        <bgColor rgb="FF4472C4"/>
      </patternFill>
    </fill>
    <fill>
      <patternFill patternType="solid">
        <fgColor rgb="FF7B1FA2"/>
        <bgColor rgb="FF800080"/>
      </patternFill>
    </fill>
    <fill>
      <patternFill patternType="solid">
        <fgColor rgb="FFFCE4D6"/>
        <bgColor rgb="FFFFF2CC"/>
      </patternFill>
    </fill>
    <fill>
      <patternFill patternType="solid">
        <fgColor rgb="FFFFCCCC"/>
        <bgColor rgb="FFFCE4D6"/>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diagonal/>
    </border>
    <border>
      <left style="thin">
        <color auto="1"/>
      </left>
      <right/>
      <top style="thin">
        <color auto="1"/>
      </top>
      <bottom style="thin">
        <color auto="1"/>
      </bottom>
      <diagonal/>
    </border>
  </borders>
  <cellStyleXfs count="1">
    <xf numFmtId="0" fontId="0" fillId="0" borderId="0"/>
  </cellStyleXfs>
  <cellXfs count="139">
    <xf numFmtId="0" fontId="0" fillId="0" borderId="0" xfId="0"/>
    <xf numFmtId="0" fontId="3"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3" fillId="2" borderId="1" xfId="0" applyFont="1" applyFill="1" applyBorder="1" applyAlignment="1">
      <alignment horizontal="center" vertical="center"/>
    </xf>
    <xf numFmtId="0" fontId="12" fillId="5" borderId="1" xfId="0" applyFont="1" applyFill="1" applyBorder="1" applyAlignment="1">
      <alignment horizontal="center" vertical="center"/>
    </xf>
    <xf numFmtId="164" fontId="13" fillId="5" borderId="1" xfId="0" applyNumberFormat="1" applyFont="1" applyFill="1" applyBorder="1" applyAlignment="1">
      <alignment horizontal="center" vertical="center"/>
    </xf>
    <xf numFmtId="165" fontId="5" fillId="9" borderId="1" xfId="0" applyNumberFormat="1" applyFont="1" applyFill="1" applyBorder="1" applyAlignment="1">
      <alignment horizontal="center" vertical="center"/>
    </xf>
    <xf numFmtId="0" fontId="12" fillId="6" borderId="1" xfId="0" applyFont="1" applyFill="1" applyBorder="1" applyAlignment="1">
      <alignment horizontal="center" vertical="center"/>
    </xf>
    <xf numFmtId="164" fontId="13" fillId="6" borderId="1" xfId="0" applyNumberFormat="1" applyFont="1" applyFill="1" applyBorder="1" applyAlignment="1">
      <alignment horizontal="center" vertical="center"/>
    </xf>
    <xf numFmtId="0" fontId="12" fillId="10" borderId="1" xfId="0" applyFont="1" applyFill="1" applyBorder="1" applyAlignment="1">
      <alignment horizontal="center" vertical="center"/>
    </xf>
    <xf numFmtId="164" fontId="13" fillId="10" borderId="1" xfId="0" applyNumberFormat="1" applyFont="1" applyFill="1" applyBorder="1" applyAlignment="1">
      <alignment horizontal="center" vertical="center"/>
    </xf>
    <xf numFmtId="0" fontId="12" fillId="11" borderId="1" xfId="0" applyFont="1" applyFill="1" applyBorder="1" applyAlignment="1">
      <alignment horizontal="center" vertical="center"/>
    </xf>
    <xf numFmtId="165" fontId="5" fillId="11" borderId="1" xfId="0" applyNumberFormat="1" applyFont="1" applyFill="1" applyBorder="1" applyAlignment="1">
      <alignment horizontal="center" vertical="center"/>
    </xf>
    <xf numFmtId="0" fontId="14" fillId="11"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13" borderId="1" xfId="0" applyFont="1" applyFill="1" applyBorder="1" applyAlignment="1">
      <alignment horizontal="center" vertical="center"/>
    </xf>
    <xf numFmtId="164" fontId="17" fillId="7" borderId="1" xfId="0" applyNumberFormat="1" applyFont="1" applyFill="1" applyBorder="1" applyAlignment="1">
      <alignment horizontal="center" vertical="center"/>
    </xf>
    <xf numFmtId="0" fontId="3" fillId="4" borderId="0" xfId="0" applyFont="1" applyFill="1" applyAlignment="1">
      <alignment horizontal="center" vertical="center"/>
    </xf>
    <xf numFmtId="0" fontId="18" fillId="2" borderId="1" xfId="0" applyFont="1" applyFill="1" applyBorder="1" applyAlignment="1">
      <alignment horizontal="center" vertical="center"/>
    </xf>
    <xf numFmtId="0" fontId="18" fillId="12" borderId="1" xfId="0" applyFont="1" applyFill="1" applyBorder="1" applyAlignment="1">
      <alignment horizontal="center" vertical="center"/>
    </xf>
    <xf numFmtId="0" fontId="18" fillId="13" borderId="1" xfId="0" applyFont="1" applyFill="1" applyBorder="1" applyAlignment="1">
      <alignment horizontal="center" vertical="center"/>
    </xf>
    <xf numFmtId="0" fontId="0" fillId="4" borderId="0" xfId="0" applyFill="1"/>
    <xf numFmtId="165" fontId="20" fillId="5" borderId="1" xfId="0" applyNumberFormat="1" applyFont="1" applyFill="1" applyBorder="1" applyAlignment="1">
      <alignment horizontal="center" vertical="center"/>
    </xf>
    <xf numFmtId="0" fontId="21" fillId="9" borderId="1" xfId="0" applyFont="1" applyFill="1" applyBorder="1" applyAlignment="1">
      <alignment horizontal="left" vertical="center" wrapText="1"/>
    </xf>
    <xf numFmtId="165" fontId="20" fillId="6" borderId="1" xfId="0" applyNumberFormat="1" applyFont="1" applyFill="1" applyBorder="1" applyAlignment="1">
      <alignment horizontal="center" vertical="center"/>
    </xf>
    <xf numFmtId="166" fontId="20" fillId="6" borderId="1" xfId="0" applyNumberFormat="1" applyFont="1" applyFill="1" applyBorder="1" applyAlignment="1">
      <alignment horizontal="center" vertical="center"/>
    </xf>
    <xf numFmtId="0" fontId="0" fillId="3" borderId="0" xfId="0" applyFill="1"/>
    <xf numFmtId="167" fontId="20" fillId="5" borderId="1" xfId="0" applyNumberFormat="1" applyFont="1" applyFill="1" applyBorder="1" applyAlignment="1">
      <alignment horizontal="center" vertical="center"/>
    </xf>
    <xf numFmtId="167" fontId="20" fillId="6" borderId="1" xfId="0" applyNumberFormat="1" applyFont="1" applyFill="1" applyBorder="1" applyAlignment="1">
      <alignment horizontal="center" vertical="center"/>
    </xf>
    <xf numFmtId="168" fontId="20" fillId="6" borderId="1" xfId="0" applyNumberFormat="1" applyFont="1" applyFill="1" applyBorder="1" applyAlignment="1">
      <alignment horizontal="center" vertical="center"/>
    </xf>
    <xf numFmtId="0" fontId="0" fillId="14" borderId="0" xfId="0" applyFill="1"/>
    <xf numFmtId="166" fontId="20" fillId="5" borderId="1" xfId="0" applyNumberFormat="1" applyFont="1" applyFill="1" applyBorder="1" applyAlignment="1">
      <alignment horizontal="center" vertical="center"/>
    </xf>
    <xf numFmtId="0" fontId="0" fillId="15" borderId="0" xfId="0" applyFill="1"/>
    <xf numFmtId="0" fontId="22" fillId="5" borderId="1" xfId="0" applyFont="1" applyFill="1" applyBorder="1" applyAlignment="1">
      <alignment horizontal="center" vertical="center"/>
    </xf>
    <xf numFmtId="0" fontId="22" fillId="6" borderId="1" xfId="0" applyFont="1" applyFill="1" applyBorder="1" applyAlignment="1">
      <alignment horizontal="center" vertical="center"/>
    </xf>
    <xf numFmtId="169" fontId="20" fillId="5" borderId="1" xfId="0" applyNumberFormat="1" applyFont="1" applyFill="1" applyBorder="1" applyAlignment="1">
      <alignment horizontal="center" vertical="center"/>
    </xf>
    <xf numFmtId="170" fontId="25" fillId="9" borderId="1" xfId="0" applyNumberFormat="1" applyFont="1" applyFill="1" applyBorder="1" applyAlignment="1">
      <alignment horizontal="center" vertical="center"/>
    </xf>
    <xf numFmtId="0" fontId="0" fillId="6" borderId="0" xfId="0" applyFill="1"/>
    <xf numFmtId="0" fontId="21" fillId="8" borderId="1" xfId="0" applyFont="1" applyFill="1" applyBorder="1" applyAlignment="1">
      <alignment horizontal="left" vertical="center" wrapText="1"/>
    </xf>
    <xf numFmtId="169" fontId="20" fillId="6" borderId="1" xfId="0" applyNumberFormat="1" applyFont="1" applyFill="1" applyBorder="1" applyAlignment="1">
      <alignment horizontal="center" vertical="center"/>
    </xf>
    <xf numFmtId="165" fontId="20" fillId="10" borderId="1" xfId="0" applyNumberFormat="1" applyFont="1" applyFill="1" applyBorder="1" applyAlignment="1">
      <alignment horizontal="center" vertical="center"/>
    </xf>
    <xf numFmtId="165" fontId="3" fillId="2" borderId="1" xfId="0" applyNumberFormat="1" applyFont="1" applyFill="1" applyBorder="1" applyAlignment="1">
      <alignment horizontal="center" vertical="center"/>
    </xf>
    <xf numFmtId="0" fontId="26" fillId="10" borderId="1" xfId="0" applyFont="1" applyFill="1" applyBorder="1" applyAlignment="1">
      <alignment horizontal="left" vertical="center" wrapText="1"/>
    </xf>
    <xf numFmtId="0" fontId="18" fillId="4" borderId="1" xfId="0" applyFont="1" applyFill="1" applyBorder="1" applyAlignment="1">
      <alignment horizontal="center" vertical="center"/>
    </xf>
    <xf numFmtId="0" fontId="27" fillId="16" borderId="1" xfId="0" applyFont="1" applyFill="1" applyBorder="1" applyAlignment="1">
      <alignment horizontal="center" vertical="center"/>
    </xf>
    <xf numFmtId="0" fontId="0" fillId="16" borderId="1" xfId="0" applyFill="1" applyBorder="1"/>
    <xf numFmtId="0" fontId="28" fillId="9" borderId="1" xfId="0" applyFont="1" applyFill="1" applyBorder="1" applyAlignment="1">
      <alignment horizontal="center" vertical="center"/>
    </xf>
    <xf numFmtId="0" fontId="0" fillId="9" borderId="1" xfId="0" applyFill="1" applyBorder="1"/>
    <xf numFmtId="0" fontId="28" fillId="11" borderId="1" xfId="0" applyFont="1" applyFill="1" applyBorder="1" applyAlignment="1">
      <alignment horizontal="center" vertical="center"/>
    </xf>
    <xf numFmtId="0" fontId="0" fillId="11" borderId="1" xfId="0" applyFill="1" applyBorder="1"/>
    <xf numFmtId="0" fontId="28" fillId="7" borderId="1" xfId="0" applyFont="1" applyFill="1" applyBorder="1" applyAlignment="1">
      <alignment horizontal="center" vertical="center"/>
    </xf>
    <xf numFmtId="0" fontId="0" fillId="7" borderId="1" xfId="0" applyFill="1" applyBorder="1"/>
    <xf numFmtId="165" fontId="3" fillId="12" borderId="1" xfId="0" applyNumberFormat="1" applyFont="1" applyFill="1" applyBorder="1" applyAlignment="1">
      <alignment horizontal="center" vertical="center"/>
    </xf>
    <xf numFmtId="165" fontId="3" fillId="13" borderId="1" xfId="0" applyNumberFormat="1" applyFont="1" applyFill="1" applyBorder="1" applyAlignment="1">
      <alignment horizontal="center" vertical="center"/>
    </xf>
    <xf numFmtId="0" fontId="18" fillId="3" borderId="1" xfId="0" applyFont="1" applyFill="1" applyBorder="1" applyAlignment="1">
      <alignment horizontal="center" vertical="center"/>
    </xf>
    <xf numFmtId="164" fontId="31" fillId="9" borderId="1" xfId="0" applyNumberFormat="1" applyFont="1" applyFill="1" applyBorder="1" applyAlignment="1">
      <alignment horizontal="center" vertical="center"/>
    </xf>
    <xf numFmtId="0" fontId="0" fillId="0" borderId="1" xfId="0" applyBorder="1"/>
    <xf numFmtId="0" fontId="15" fillId="7" borderId="1" xfId="0" applyFont="1" applyFill="1" applyBorder="1" applyAlignment="1">
      <alignment horizontal="left" vertical="center"/>
    </xf>
    <xf numFmtId="0" fontId="28" fillId="16" borderId="1" xfId="0" applyFont="1" applyFill="1" applyBorder="1" applyAlignment="1">
      <alignment horizontal="left" vertical="center"/>
    </xf>
    <xf numFmtId="0" fontId="25" fillId="16" borderId="1" xfId="0" applyFont="1" applyFill="1" applyBorder="1" applyAlignment="1">
      <alignment horizontal="center" vertical="center"/>
    </xf>
    <xf numFmtId="0" fontId="32" fillId="16" borderId="1" xfId="0" applyFont="1" applyFill="1" applyBorder="1" applyAlignment="1">
      <alignment horizontal="center" vertical="center"/>
    </xf>
    <xf numFmtId="0" fontId="33" fillId="16" borderId="1" xfId="0" applyFont="1" applyFill="1" applyBorder="1" applyAlignment="1">
      <alignment horizontal="left" vertical="center" wrapText="1"/>
    </xf>
    <xf numFmtId="0" fontId="28" fillId="17" borderId="1" xfId="0" applyFont="1" applyFill="1" applyBorder="1" applyAlignment="1">
      <alignment horizontal="left" vertical="center"/>
    </xf>
    <xf numFmtId="0" fontId="25" fillId="17" borderId="1" xfId="0" applyFont="1" applyFill="1" applyBorder="1" applyAlignment="1">
      <alignment horizontal="center" vertical="center"/>
    </xf>
    <xf numFmtId="0" fontId="32" fillId="17" borderId="1" xfId="0" applyFont="1" applyFill="1" applyBorder="1" applyAlignment="1">
      <alignment horizontal="center" vertical="center"/>
    </xf>
    <xf numFmtId="0" fontId="33" fillId="17" borderId="1" xfId="0" applyFont="1" applyFill="1" applyBorder="1" applyAlignment="1">
      <alignment horizontal="left" vertical="center" wrapText="1"/>
    </xf>
    <xf numFmtId="0" fontId="28" fillId="11" borderId="1" xfId="0" applyFont="1" applyFill="1" applyBorder="1" applyAlignment="1">
      <alignment horizontal="left" vertical="center"/>
    </xf>
    <xf numFmtId="0" fontId="25" fillId="11" borderId="1" xfId="0" applyFont="1" applyFill="1" applyBorder="1" applyAlignment="1">
      <alignment horizontal="center" vertical="center"/>
    </xf>
    <xf numFmtId="0" fontId="34" fillId="11" borderId="1" xfId="0" applyFont="1" applyFill="1" applyBorder="1" applyAlignment="1">
      <alignment horizontal="center" vertical="center"/>
    </xf>
    <xf numFmtId="0" fontId="33" fillId="11" borderId="1" xfId="0" applyFont="1" applyFill="1" applyBorder="1" applyAlignment="1">
      <alignment horizontal="left" vertical="center" wrapText="1"/>
    </xf>
    <xf numFmtId="0" fontId="19" fillId="16" borderId="1" xfId="0" applyFont="1" applyFill="1" applyBorder="1" applyAlignment="1">
      <alignment horizontal="center" vertical="center"/>
    </xf>
    <xf numFmtId="0" fontId="19" fillId="9" borderId="1" xfId="0" applyFont="1" applyFill="1" applyBorder="1" applyAlignment="1">
      <alignment horizontal="center" vertical="center"/>
    </xf>
    <xf numFmtId="0" fontId="19" fillId="11" borderId="1" xfId="0" applyFont="1" applyFill="1" applyBorder="1" applyAlignment="1">
      <alignment horizontal="center" vertical="center"/>
    </xf>
    <xf numFmtId="0" fontId="0" fillId="0" borderId="5" xfId="0" applyBorder="1"/>
    <xf numFmtId="0" fontId="3" fillId="4" borderId="6" xfId="0" applyFont="1" applyFill="1" applyBorder="1" applyAlignment="1">
      <alignment horizontal="center" vertical="center"/>
    </xf>
    <xf numFmtId="0" fontId="4" fillId="5" borderId="6" xfId="0" applyFont="1" applyFill="1" applyBorder="1" applyAlignment="1">
      <alignment horizontal="left" vertical="center"/>
    </xf>
    <xf numFmtId="0" fontId="4" fillId="6" borderId="6" xfId="0" applyFont="1" applyFill="1" applyBorder="1" applyAlignment="1">
      <alignment horizontal="left" vertical="center"/>
    </xf>
    <xf numFmtId="0" fontId="3" fillId="2" borderId="6" xfId="0" applyFont="1" applyFill="1" applyBorder="1" applyAlignment="1">
      <alignment horizontal="center" vertical="center"/>
    </xf>
    <xf numFmtId="0" fontId="11" fillId="5" borderId="6" xfId="0" applyFont="1" applyFill="1" applyBorder="1" applyAlignment="1">
      <alignment horizontal="left" vertical="center"/>
    </xf>
    <xf numFmtId="0" fontId="11" fillId="6" borderId="6" xfId="0" applyFont="1" applyFill="1" applyBorder="1" applyAlignment="1">
      <alignment horizontal="left" vertical="center"/>
    </xf>
    <xf numFmtId="0" fontId="11" fillId="10" borderId="6" xfId="0" applyFont="1" applyFill="1" applyBorder="1" applyAlignment="1">
      <alignment horizontal="left" vertical="center"/>
    </xf>
    <xf numFmtId="0" fontId="11" fillId="11" borderId="6" xfId="0" applyFont="1" applyFill="1" applyBorder="1" applyAlignment="1">
      <alignment horizontal="left" vertical="center"/>
    </xf>
    <xf numFmtId="0" fontId="3" fillId="12" borderId="6" xfId="0" applyFont="1" applyFill="1" applyBorder="1" applyAlignment="1">
      <alignment horizontal="center" vertical="center"/>
    </xf>
    <xf numFmtId="0" fontId="3" fillId="13" borderId="6" xfId="0" applyFont="1" applyFill="1" applyBorder="1" applyAlignment="1">
      <alignment horizontal="center" vertical="center"/>
    </xf>
    <xf numFmtId="0" fontId="3" fillId="2" borderId="6" xfId="0" applyFont="1" applyFill="1" applyBorder="1" applyAlignment="1">
      <alignment horizontal="left" vertical="center"/>
    </xf>
    <xf numFmtId="0" fontId="3" fillId="12" borderId="6" xfId="0" applyFont="1" applyFill="1" applyBorder="1" applyAlignment="1">
      <alignment horizontal="left" vertical="center"/>
    </xf>
    <xf numFmtId="0" fontId="3" fillId="13" borderId="6" xfId="0" applyFont="1" applyFill="1" applyBorder="1" applyAlignment="1">
      <alignment horizontal="left" vertical="center"/>
    </xf>
    <xf numFmtId="0" fontId="19" fillId="5" borderId="6" xfId="0" applyFont="1" applyFill="1" applyBorder="1" applyAlignment="1">
      <alignment horizontal="left" vertical="center"/>
    </xf>
    <xf numFmtId="0" fontId="19" fillId="6" borderId="6" xfId="0" applyFont="1" applyFill="1" applyBorder="1" applyAlignment="1">
      <alignment horizontal="left" vertical="center"/>
    </xf>
    <xf numFmtId="0" fontId="19" fillId="10" borderId="6" xfId="0" applyFont="1" applyFill="1" applyBorder="1" applyAlignment="1">
      <alignment horizontal="left" vertical="center"/>
    </xf>
    <xf numFmtId="0" fontId="18" fillId="4" borderId="6" xfId="0" applyFont="1" applyFill="1" applyBorder="1" applyAlignment="1">
      <alignment horizontal="center" vertical="center"/>
    </xf>
    <xf numFmtId="0" fontId="19" fillId="16" borderId="6" xfId="0" applyFont="1" applyFill="1" applyBorder="1" applyAlignment="1">
      <alignment horizontal="left" vertical="center"/>
    </xf>
    <xf numFmtId="0" fontId="19" fillId="9" borderId="6" xfId="0" applyFont="1" applyFill="1" applyBorder="1" applyAlignment="1">
      <alignment horizontal="left" vertical="center"/>
    </xf>
    <xf numFmtId="0" fontId="19" fillId="11" borderId="6" xfId="0" applyFont="1" applyFill="1" applyBorder="1" applyAlignment="1">
      <alignment horizontal="left" vertical="center"/>
    </xf>
    <xf numFmtId="0" fontId="19" fillId="7" borderId="6" xfId="0" applyFont="1" applyFill="1" applyBorder="1" applyAlignment="1">
      <alignment horizontal="left" vertical="center"/>
    </xf>
    <xf numFmtId="0" fontId="18" fillId="3" borderId="6" xfId="0" applyFont="1" applyFill="1" applyBorder="1" applyAlignment="1">
      <alignment horizontal="center" vertical="center"/>
    </xf>
    <xf numFmtId="0" fontId="18" fillId="2" borderId="6" xfId="0" applyFont="1" applyFill="1" applyBorder="1" applyAlignment="1">
      <alignment horizontal="left" vertical="center"/>
    </xf>
    <xf numFmtId="0" fontId="18" fillId="12" borderId="6" xfId="0" applyFont="1" applyFill="1" applyBorder="1" applyAlignment="1">
      <alignment horizontal="left" vertical="center"/>
    </xf>
    <xf numFmtId="0" fontId="18" fillId="13" borderId="6" xfId="0" applyFont="1" applyFill="1" applyBorder="1" applyAlignment="1">
      <alignment horizontal="left" vertical="center"/>
    </xf>
    <xf numFmtId="0" fontId="28" fillId="16" borderId="6" xfId="0" applyFont="1" applyFill="1" applyBorder="1" applyAlignment="1">
      <alignment horizontal="left" vertical="center"/>
    </xf>
    <xf numFmtId="0" fontId="28" fillId="17" borderId="6" xfId="0" applyFont="1" applyFill="1" applyBorder="1" applyAlignment="1">
      <alignment horizontal="left" vertical="center"/>
    </xf>
    <xf numFmtId="0" fontId="28" fillId="11" borderId="6" xfId="0" applyFont="1" applyFill="1" applyBorder="1" applyAlignment="1">
      <alignment horizontal="left" vertical="center"/>
    </xf>
    <xf numFmtId="0" fontId="6" fillId="2" borderId="5" xfId="0" applyFont="1" applyFill="1" applyBorder="1" applyAlignment="1">
      <alignment horizontal="left" vertical="center"/>
    </xf>
    <xf numFmtId="0" fontId="0" fillId="0" borderId="0" xfId="0"/>
    <xf numFmtId="0" fontId="7" fillId="7" borderId="5" xfId="0" applyFont="1" applyFill="1" applyBorder="1" applyAlignment="1">
      <alignment horizontal="left" vertical="center" wrapText="1"/>
    </xf>
    <xf numFmtId="0" fontId="8" fillId="8" borderId="5" xfId="0" applyFont="1" applyFill="1" applyBorder="1" applyAlignment="1">
      <alignment horizontal="left" vertical="center"/>
    </xf>
    <xf numFmtId="0" fontId="2" fillId="3" borderId="5" xfId="0" applyFont="1" applyFill="1" applyBorder="1" applyAlignment="1">
      <alignment horizontal="center" vertical="center"/>
    </xf>
    <xf numFmtId="0" fontId="7" fillId="5" borderId="5" xfId="0" applyFont="1" applyFill="1" applyBorder="1" applyAlignment="1">
      <alignment horizontal="left" vertical="center" wrapText="1"/>
    </xf>
    <xf numFmtId="0" fontId="3" fillId="2" borderId="5" xfId="0" applyFont="1" applyFill="1" applyBorder="1" applyAlignment="1">
      <alignment horizontal="left" vertical="center"/>
    </xf>
    <xf numFmtId="0" fontId="1" fillId="2" borderId="5" xfId="0" applyFont="1" applyFill="1" applyBorder="1" applyAlignment="1">
      <alignment horizontal="center" vertical="center"/>
    </xf>
    <xf numFmtId="0" fontId="3" fillId="3" borderId="5" xfId="0" applyFont="1" applyFill="1" applyBorder="1" applyAlignment="1">
      <alignment horizontal="left" vertical="center"/>
    </xf>
    <xf numFmtId="0" fontId="3" fillId="4" borderId="5" xfId="0" applyFont="1" applyFill="1" applyBorder="1" applyAlignment="1">
      <alignment horizontal="left" vertical="center"/>
    </xf>
    <xf numFmtId="0" fontId="6" fillId="4" borderId="5" xfId="0" applyFont="1" applyFill="1" applyBorder="1" applyAlignment="1">
      <alignment horizontal="left" vertical="center"/>
    </xf>
    <xf numFmtId="0" fontId="9" fillId="2" borderId="5" xfId="0" applyFont="1" applyFill="1" applyBorder="1" applyAlignment="1">
      <alignment horizontal="center" vertical="center"/>
    </xf>
    <xf numFmtId="0" fontId="10" fillId="3" borderId="5" xfId="0" applyFont="1" applyFill="1" applyBorder="1" applyAlignment="1">
      <alignment horizontal="center" vertical="center"/>
    </xf>
    <xf numFmtId="0" fontId="15" fillId="7" borderId="5" xfId="0" applyFont="1" applyFill="1" applyBorder="1" applyAlignment="1">
      <alignment horizontal="left" vertical="center"/>
    </xf>
    <xf numFmtId="0" fontId="9" fillId="12" borderId="5" xfId="0" applyFont="1" applyFill="1" applyBorder="1" applyAlignment="1">
      <alignment horizontal="center" vertical="center"/>
    </xf>
    <xf numFmtId="0" fontId="9" fillId="13" borderId="5" xfId="0" applyFont="1" applyFill="1" applyBorder="1" applyAlignment="1">
      <alignment horizontal="center" vertical="center"/>
    </xf>
    <xf numFmtId="0" fontId="16" fillId="2" borderId="5" xfId="0" applyFont="1" applyFill="1" applyBorder="1" applyAlignment="1">
      <alignment horizontal="center" vertical="center"/>
    </xf>
    <xf numFmtId="0" fontId="3" fillId="12" borderId="0" xfId="0" applyFont="1" applyFill="1" applyAlignment="1">
      <alignment horizontal="center" vertical="center"/>
    </xf>
    <xf numFmtId="0" fontId="3" fillId="13" borderId="0" xfId="0" applyFont="1" applyFill="1" applyAlignment="1">
      <alignment horizontal="center" vertical="center"/>
    </xf>
    <xf numFmtId="0" fontId="3" fillId="2" borderId="0" xfId="0" applyFont="1" applyFill="1" applyAlignment="1">
      <alignment horizontal="center" vertical="center"/>
    </xf>
    <xf numFmtId="0" fontId="3" fillId="14" borderId="5" xfId="0" applyFont="1" applyFill="1" applyBorder="1" applyAlignment="1">
      <alignment horizontal="left" vertical="center"/>
    </xf>
    <xf numFmtId="0" fontId="3" fillId="15" borderId="5" xfId="0" applyFont="1" applyFill="1" applyBorder="1" applyAlignment="1">
      <alignment horizontal="left" vertical="center"/>
    </xf>
    <xf numFmtId="0" fontId="24" fillId="5" borderId="5" xfId="0" applyFont="1" applyFill="1" applyBorder="1" applyAlignment="1">
      <alignment horizontal="center" vertical="center"/>
    </xf>
    <xf numFmtId="0" fontId="23" fillId="10" borderId="5" xfId="0" applyFont="1" applyFill="1" applyBorder="1" applyAlignment="1">
      <alignment horizontal="center" vertical="center"/>
    </xf>
    <xf numFmtId="0" fontId="21" fillId="16" borderId="2" xfId="0" applyFont="1" applyFill="1" applyBorder="1" applyAlignment="1">
      <alignment horizontal="left" vertical="center" wrapText="1"/>
    </xf>
    <xf numFmtId="0" fontId="0" fillId="0" borderId="3" xfId="0" applyBorder="1"/>
    <xf numFmtId="0" fontId="21" fillId="9" borderId="2" xfId="0" applyFont="1" applyFill="1" applyBorder="1" applyAlignment="1">
      <alignment horizontal="left" vertical="center" wrapText="1"/>
    </xf>
    <xf numFmtId="0" fontId="21" fillId="7" borderId="2" xfId="0" applyFont="1" applyFill="1" applyBorder="1" applyAlignment="1">
      <alignment horizontal="left" vertical="center" wrapText="1"/>
    </xf>
    <xf numFmtId="0" fontId="18" fillId="4" borderId="1" xfId="0" applyFont="1" applyFill="1" applyBorder="1" applyAlignment="1">
      <alignment horizontal="center" vertical="center"/>
    </xf>
    <xf numFmtId="0" fontId="0" fillId="0" borderId="4" xfId="0" applyBorder="1"/>
    <xf numFmtId="0" fontId="21" fillId="11" borderId="2" xfId="0" applyFont="1" applyFill="1" applyBorder="1" applyAlignment="1">
      <alignment horizontal="left" vertical="center" wrapText="1"/>
    </xf>
    <xf numFmtId="0" fontId="30" fillId="11" borderId="0" xfId="0" applyFont="1" applyFill="1" applyAlignment="1">
      <alignment horizontal="center" vertical="center"/>
    </xf>
    <xf numFmtId="0" fontId="29" fillId="16" borderId="5" xfId="0" applyFont="1" applyFill="1" applyBorder="1" applyAlignment="1">
      <alignment horizontal="center" vertical="center"/>
    </xf>
    <xf numFmtId="0" fontId="18" fillId="4" borderId="2" xfId="0" applyFont="1" applyFill="1" applyBorder="1" applyAlignment="1">
      <alignment horizontal="center" vertical="center"/>
    </xf>
    <xf numFmtId="0" fontId="6" fillId="12" borderId="5" xfId="0" applyFont="1" applyFill="1" applyBorder="1" applyAlignment="1">
      <alignment horizontal="left" vertical="center"/>
    </xf>
    <xf numFmtId="0" fontId="6" fillId="13" borderId="5"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400"/>
      <rgbColor rgb="FF000080"/>
      <rgbColor rgb="FF606060"/>
      <rgbColor rgb="FF7B1FA2"/>
      <rgbColor rgb="FF008080"/>
      <rgbColor rgb="FFFFFAF0"/>
      <rgbColor rgb="FF808080"/>
      <rgbColor rgb="FF9999FF"/>
      <rgbColor rgb="FF993366"/>
      <rgbColor rgb="FFFFF2CC"/>
      <rgbColor rgb="FFEBF3FD"/>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FFCCCC"/>
      <rgbColor rgb="FF4472C4"/>
      <rgbColor rgb="FF33CCCC"/>
      <rgbColor rgb="FF99CC00"/>
      <rgbColor rgb="FFFFCC00"/>
      <rgbColor rgb="FFFF9900"/>
      <rgbColor rgb="FFFF6600"/>
      <rgbColor rgb="FF5C6BC0"/>
      <rgbColor rgb="FF969696"/>
      <rgbColor rgb="FF1B2A4A"/>
      <rgbColor rgb="FF2E7D32"/>
      <rgbColor rgb="FF003300"/>
      <rgbColor rgb="FF1E5631"/>
      <rgbColor rgb="FFB85C00"/>
      <rgbColor rgb="FF993366"/>
      <rgbColor rgb="FF2E4172"/>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E28"/>
  <sheetViews>
    <sheetView showGridLines="0" zoomScaleNormal="100" workbookViewId="0">
      <selection sqref="A1:E1"/>
    </sheetView>
  </sheetViews>
  <sheetFormatPr defaultColWidth="8.6640625" defaultRowHeight="14.4" x14ac:dyDescent="0.3"/>
  <cols>
    <col min="1" max="1" width="32" customWidth="1"/>
    <col min="2" max="2" width="18" customWidth="1"/>
    <col min="3" max="3" width="15" customWidth="1"/>
    <col min="4" max="4" width="20" customWidth="1"/>
    <col min="5" max="5" width="55" customWidth="1"/>
  </cols>
  <sheetData>
    <row r="1" spans="1:5" ht="33.75" customHeight="1" x14ac:dyDescent="0.3">
      <c r="A1" s="110" t="s">
        <v>0</v>
      </c>
      <c r="B1" s="104"/>
      <c r="C1" s="104"/>
      <c r="D1" s="104"/>
      <c r="E1" s="104"/>
    </row>
    <row r="2" spans="1:5" ht="18" customHeight="1" x14ac:dyDescent="0.3">
      <c r="A2" s="107" t="s">
        <v>1</v>
      </c>
      <c r="B2" s="104"/>
      <c r="C2" s="104"/>
      <c r="D2" s="104"/>
      <c r="E2" s="104"/>
    </row>
    <row r="3" spans="1:5" ht="7.5" customHeight="1" x14ac:dyDescent="0.3">
      <c r="A3" s="74"/>
    </row>
    <row r="4" spans="1:5" ht="19.5" customHeight="1" x14ac:dyDescent="0.3">
      <c r="A4" s="75" t="s">
        <v>2</v>
      </c>
      <c r="B4" s="1" t="s">
        <v>3</v>
      </c>
      <c r="C4" s="1" t="s">
        <v>4</v>
      </c>
      <c r="D4" s="1" t="s">
        <v>5</v>
      </c>
    </row>
    <row r="5" spans="1:5" ht="18" customHeight="1" x14ac:dyDescent="0.3">
      <c r="A5" s="76" t="s">
        <v>6</v>
      </c>
      <c r="B5" s="2" t="s">
        <v>7</v>
      </c>
      <c r="C5" s="2" t="s">
        <v>8</v>
      </c>
      <c r="D5" s="2" t="s">
        <v>9</v>
      </c>
    </row>
    <row r="6" spans="1:5" ht="18" customHeight="1" x14ac:dyDescent="0.3">
      <c r="A6" s="77" t="s">
        <v>10</v>
      </c>
      <c r="B6" s="3" t="s">
        <v>11</v>
      </c>
      <c r="C6" s="3" t="s">
        <v>12</v>
      </c>
      <c r="D6" s="3" t="s">
        <v>13</v>
      </c>
    </row>
    <row r="7" spans="1:5" ht="18" customHeight="1" x14ac:dyDescent="0.3">
      <c r="A7" s="76" t="s">
        <v>14</v>
      </c>
      <c r="B7" s="2" t="s">
        <v>15</v>
      </c>
      <c r="C7" s="2" t="s">
        <v>16</v>
      </c>
      <c r="D7" s="2" t="s">
        <v>17</v>
      </c>
    </row>
    <row r="8" spans="1:5" ht="12" customHeight="1" x14ac:dyDescent="0.3">
      <c r="A8" s="74"/>
    </row>
    <row r="9" spans="1:5" ht="21.75" customHeight="1" x14ac:dyDescent="0.3">
      <c r="A9" s="113" t="s">
        <v>18</v>
      </c>
      <c r="B9" s="104"/>
      <c r="C9" s="104"/>
      <c r="D9" s="104"/>
      <c r="E9" s="104"/>
    </row>
    <row r="10" spans="1:5" ht="51.75" customHeight="1" x14ac:dyDescent="0.3">
      <c r="A10" s="108" t="s">
        <v>19</v>
      </c>
      <c r="B10" s="104"/>
      <c r="C10" s="104"/>
      <c r="D10" s="104"/>
      <c r="E10" s="104"/>
    </row>
    <row r="11" spans="1:5" ht="19.5" customHeight="1" x14ac:dyDescent="0.3">
      <c r="A11" s="109" t="s">
        <v>20</v>
      </c>
      <c r="B11" s="104"/>
      <c r="C11" s="104"/>
      <c r="D11" s="104"/>
      <c r="E11" s="104"/>
    </row>
    <row r="12" spans="1:5" ht="43.5" customHeight="1" x14ac:dyDescent="0.3">
      <c r="A12" s="105" t="s">
        <v>21</v>
      </c>
      <c r="B12" s="104"/>
      <c r="C12" s="104"/>
      <c r="D12" s="104"/>
      <c r="E12" s="104"/>
    </row>
    <row r="13" spans="1:5" ht="6" customHeight="1" x14ac:dyDescent="0.3">
      <c r="A13" s="74"/>
    </row>
    <row r="14" spans="1:5" ht="19.5" customHeight="1" x14ac:dyDescent="0.3">
      <c r="A14" s="111" t="s">
        <v>22</v>
      </c>
      <c r="B14" s="104"/>
      <c r="C14" s="104"/>
      <c r="D14" s="104"/>
      <c r="E14" s="104"/>
    </row>
    <row r="15" spans="1:5" ht="43.5" customHeight="1" x14ac:dyDescent="0.3">
      <c r="A15" s="105" t="s">
        <v>23</v>
      </c>
      <c r="B15" s="104"/>
      <c r="C15" s="104"/>
      <c r="D15" s="104"/>
      <c r="E15" s="104"/>
    </row>
    <row r="16" spans="1:5" ht="6" customHeight="1" x14ac:dyDescent="0.3">
      <c r="A16" s="74"/>
    </row>
    <row r="17" spans="1:5" ht="19.5" customHeight="1" x14ac:dyDescent="0.3">
      <c r="A17" s="112" t="s">
        <v>24</v>
      </c>
      <c r="B17" s="104"/>
      <c r="C17" s="104"/>
      <c r="D17" s="104"/>
      <c r="E17" s="104"/>
    </row>
    <row r="18" spans="1:5" ht="43.5" customHeight="1" x14ac:dyDescent="0.3">
      <c r="A18" s="105" t="s">
        <v>25</v>
      </c>
      <c r="B18" s="104"/>
      <c r="C18" s="104"/>
      <c r="D18" s="104"/>
      <c r="E18" s="104"/>
    </row>
    <row r="19" spans="1:5" ht="6" customHeight="1" x14ac:dyDescent="0.3">
      <c r="A19" s="74"/>
    </row>
    <row r="20" spans="1:5" x14ac:dyDescent="0.3">
      <c r="A20" s="74"/>
    </row>
    <row r="21" spans="1:5" ht="21.75" customHeight="1" x14ac:dyDescent="0.3">
      <c r="A21" s="103" t="s">
        <v>26</v>
      </c>
      <c r="B21" s="104"/>
      <c r="C21" s="104"/>
      <c r="D21" s="104"/>
      <c r="E21" s="104"/>
    </row>
    <row r="22" spans="1:5" ht="15.75" customHeight="1" x14ac:dyDescent="0.3">
      <c r="A22" s="106" t="s">
        <v>27</v>
      </c>
      <c r="B22" s="104"/>
      <c r="C22" s="104"/>
      <c r="D22" s="104"/>
      <c r="E22" s="104"/>
    </row>
    <row r="23" spans="1:5" ht="15.75" customHeight="1" x14ac:dyDescent="0.3">
      <c r="A23" s="106" t="s">
        <v>28</v>
      </c>
      <c r="B23" s="104"/>
      <c r="C23" s="104"/>
      <c r="D23" s="104"/>
      <c r="E23" s="104"/>
    </row>
    <row r="24" spans="1:5" ht="15.75" customHeight="1" x14ac:dyDescent="0.3">
      <c r="A24" s="106" t="s">
        <v>29</v>
      </c>
      <c r="B24" s="104"/>
      <c r="C24" s="104"/>
      <c r="D24" s="104"/>
      <c r="E24" s="104"/>
    </row>
    <row r="25" spans="1:5" ht="15.75" customHeight="1" x14ac:dyDescent="0.3">
      <c r="A25" s="106" t="s">
        <v>30</v>
      </c>
      <c r="B25" s="104"/>
      <c r="C25" s="104"/>
      <c r="D25" s="104"/>
      <c r="E25" s="104"/>
    </row>
    <row r="26" spans="1:5" ht="15.75" customHeight="1" x14ac:dyDescent="0.3">
      <c r="A26" s="106" t="s">
        <v>31</v>
      </c>
      <c r="B26" s="104"/>
      <c r="C26" s="104"/>
      <c r="D26" s="104"/>
      <c r="E26" s="104"/>
    </row>
    <row r="27" spans="1:5" ht="15.75" customHeight="1" x14ac:dyDescent="0.3">
      <c r="A27" s="106" t="s">
        <v>32</v>
      </c>
      <c r="B27" s="104"/>
      <c r="C27" s="104"/>
      <c r="D27" s="104"/>
      <c r="E27" s="104"/>
    </row>
    <row r="28" spans="1:5" ht="15.75" customHeight="1" x14ac:dyDescent="0.3">
      <c r="A28" s="106" t="s">
        <v>33</v>
      </c>
      <c r="B28" s="104"/>
      <c r="C28" s="104"/>
      <c r="D28" s="104"/>
      <c r="E28" s="104"/>
    </row>
  </sheetData>
  <mergeCells count="18">
    <mergeCell ref="A28:E28"/>
    <mergeCell ref="A11:E11"/>
    <mergeCell ref="A1:E1"/>
    <mergeCell ref="A23:E23"/>
    <mergeCell ref="A14:E14"/>
    <mergeCell ref="A22:E22"/>
    <mergeCell ref="A17:E17"/>
    <mergeCell ref="A18:E18"/>
    <mergeCell ref="A9:E9"/>
    <mergeCell ref="A27:E27"/>
    <mergeCell ref="A21:E21"/>
    <mergeCell ref="A12:E12"/>
    <mergeCell ref="A26:E26"/>
    <mergeCell ref="A24:E24"/>
    <mergeCell ref="A2:E2"/>
    <mergeCell ref="A15:E15"/>
    <mergeCell ref="A10:E10"/>
    <mergeCell ref="A25:E2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2A4A"/>
  </sheetPr>
  <dimension ref="A1:G16"/>
  <sheetViews>
    <sheetView showGridLines="0" zoomScaleNormal="100" workbookViewId="0">
      <selection sqref="A1:G1"/>
    </sheetView>
  </sheetViews>
  <sheetFormatPr defaultColWidth="8.6640625" defaultRowHeight="14.4" x14ac:dyDescent="0.3"/>
  <cols>
    <col min="1" max="1" width="32" customWidth="1"/>
    <col min="2" max="6" width="16" customWidth="1"/>
    <col min="7" max="7" width="22" customWidth="1"/>
  </cols>
  <sheetData>
    <row r="1" spans="1:7" ht="30" customHeight="1" x14ac:dyDescent="0.3">
      <c r="A1" s="114" t="s">
        <v>34</v>
      </c>
      <c r="B1" s="104"/>
      <c r="C1" s="104"/>
      <c r="D1" s="104"/>
      <c r="E1" s="104"/>
      <c r="F1" s="104"/>
      <c r="G1" s="104"/>
    </row>
    <row r="2" spans="1:7" ht="15.75" customHeight="1" x14ac:dyDescent="0.3">
      <c r="A2" s="115" t="s">
        <v>35</v>
      </c>
      <c r="B2" s="104"/>
      <c r="C2" s="104"/>
      <c r="D2" s="104"/>
      <c r="E2" s="104"/>
      <c r="F2" s="104"/>
      <c r="G2" s="104"/>
    </row>
    <row r="3" spans="1:7" ht="21.75" customHeight="1" x14ac:dyDescent="0.3">
      <c r="A3" s="78" t="s">
        <v>36</v>
      </c>
      <c r="B3" s="4" t="s">
        <v>37</v>
      </c>
      <c r="C3" s="4" t="s">
        <v>38</v>
      </c>
      <c r="D3" s="4" t="s">
        <v>39</v>
      </c>
      <c r="E3" s="4" t="s">
        <v>40</v>
      </c>
      <c r="F3" s="4" t="s">
        <v>41</v>
      </c>
      <c r="G3" s="4" t="s">
        <v>42</v>
      </c>
    </row>
    <row r="4" spans="1:7" ht="19.5" customHeight="1" x14ac:dyDescent="0.3">
      <c r="A4" s="111" t="s">
        <v>43</v>
      </c>
      <c r="B4" s="104"/>
      <c r="C4" s="104"/>
      <c r="D4" s="104"/>
      <c r="E4" s="104"/>
      <c r="F4" s="104"/>
      <c r="G4" s="104"/>
    </row>
    <row r="5" spans="1:7" ht="18" customHeight="1" x14ac:dyDescent="0.3">
      <c r="A5" s="79" t="s">
        <v>44</v>
      </c>
      <c r="B5" s="5" t="s">
        <v>45</v>
      </c>
      <c r="C5" s="6">
        <v>7729.9</v>
      </c>
      <c r="D5" s="6">
        <v>8305.7999999999993</v>
      </c>
      <c r="E5" s="6">
        <v>8167.6</v>
      </c>
      <c r="F5" s="6">
        <v>8766.5</v>
      </c>
      <c r="G5" s="7">
        <f>(F5/C5)^(1/3)-1</f>
        <v>4.2839454664252319E-2</v>
      </c>
    </row>
    <row r="6" spans="1:7" ht="18" customHeight="1" x14ac:dyDescent="0.3">
      <c r="A6" s="80" t="s">
        <v>46</v>
      </c>
      <c r="B6" s="8" t="s">
        <v>45</v>
      </c>
      <c r="C6" s="9">
        <v>2117.3000000000002</v>
      </c>
      <c r="D6" s="9">
        <v>1679.2</v>
      </c>
      <c r="E6" s="9">
        <v>868.1</v>
      </c>
      <c r="F6" s="9">
        <v>727.4</v>
      </c>
      <c r="G6" s="7">
        <f>(F6/C6)^(1/3)-1</f>
        <v>-0.29962554144077835</v>
      </c>
    </row>
    <row r="7" spans="1:7" ht="18" customHeight="1" x14ac:dyDescent="0.3">
      <c r="A7" s="79" t="s">
        <v>47</v>
      </c>
      <c r="B7" s="5" t="s">
        <v>45</v>
      </c>
      <c r="C7" s="6">
        <v>1255.5999999999999</v>
      </c>
      <c r="D7" s="6">
        <v>1498.5</v>
      </c>
      <c r="E7" s="6">
        <v>468.1</v>
      </c>
      <c r="F7" s="6">
        <v>381.1</v>
      </c>
      <c r="G7" s="7">
        <f>(F7/C7)^(1/3)-1</f>
        <v>-0.32795882792205544</v>
      </c>
    </row>
    <row r="8" spans="1:7" ht="18" customHeight="1" x14ac:dyDescent="0.3">
      <c r="A8" s="80" t="s">
        <v>48</v>
      </c>
      <c r="B8" s="8" t="s">
        <v>45</v>
      </c>
      <c r="C8" s="9">
        <v>800.1</v>
      </c>
      <c r="D8" s="9">
        <v>964.6</v>
      </c>
      <c r="E8" s="9">
        <v>47.8</v>
      </c>
      <c r="F8" s="9">
        <v>141.4</v>
      </c>
      <c r="G8" s="7">
        <f>(F8/C8)^(1/3)-1</f>
        <v>-0.43882060952920532</v>
      </c>
    </row>
    <row r="9" spans="1:7" ht="19.5" customHeight="1" x14ac:dyDescent="0.3">
      <c r="A9" s="111" t="s">
        <v>49</v>
      </c>
      <c r="B9" s="104"/>
      <c r="C9" s="104"/>
      <c r="D9" s="104"/>
      <c r="E9" s="104"/>
      <c r="F9" s="104"/>
      <c r="G9" s="104"/>
    </row>
    <row r="10" spans="1:7" ht="18" customHeight="1" x14ac:dyDescent="0.3">
      <c r="A10" s="81" t="s">
        <v>50</v>
      </c>
      <c r="B10" s="10" t="s">
        <v>45</v>
      </c>
      <c r="C10" s="11">
        <v>12818.7</v>
      </c>
      <c r="D10" s="11">
        <v>13239.6</v>
      </c>
      <c r="E10" s="11">
        <v>13728.3</v>
      </c>
      <c r="F10" s="11">
        <v>13449.7</v>
      </c>
      <c r="G10" s="7">
        <f>(F10/C10)^(1/3)-1</f>
        <v>1.6146216714356898E-2</v>
      </c>
    </row>
    <row r="11" spans="1:7" ht="18" customHeight="1" x14ac:dyDescent="0.3">
      <c r="A11" s="80" t="s">
        <v>51</v>
      </c>
      <c r="B11" s="8" t="s">
        <v>45</v>
      </c>
      <c r="C11" s="9">
        <v>10110</v>
      </c>
      <c r="D11" s="9">
        <v>10865.2</v>
      </c>
      <c r="E11" s="9">
        <v>10721.9</v>
      </c>
      <c r="F11" s="9">
        <v>10875.3</v>
      </c>
      <c r="G11" s="7">
        <f>(F11/C11)^(1/3)-1</f>
        <v>2.4621261421925666E-2</v>
      </c>
    </row>
    <row r="12" spans="1:7" ht="18" customHeight="1" x14ac:dyDescent="0.3">
      <c r="A12" s="81" t="s">
        <v>52</v>
      </c>
      <c r="B12" s="10" t="s">
        <v>45</v>
      </c>
      <c r="C12" s="11">
        <v>423.1</v>
      </c>
      <c r="D12" s="11">
        <v>76.3</v>
      </c>
      <c r="E12" s="11">
        <v>282</v>
      </c>
      <c r="F12" s="11">
        <v>181</v>
      </c>
      <c r="G12" s="7">
        <f>(F12/C12)^(1/3)-1</f>
        <v>-0.24650822408447659</v>
      </c>
    </row>
    <row r="13" spans="1:7" ht="19.5" customHeight="1" x14ac:dyDescent="0.3">
      <c r="A13" s="111" t="s">
        <v>53</v>
      </c>
      <c r="B13" s="104"/>
      <c r="C13" s="104"/>
      <c r="D13" s="104"/>
      <c r="E13" s="104"/>
      <c r="F13" s="104"/>
      <c r="G13" s="104"/>
    </row>
    <row r="14" spans="1:7" ht="18" customHeight="1" x14ac:dyDescent="0.3">
      <c r="A14" s="82" t="s">
        <v>54</v>
      </c>
      <c r="B14" s="12" t="s">
        <v>45</v>
      </c>
      <c r="C14" s="12" t="s">
        <v>45</v>
      </c>
      <c r="D14" s="13">
        <f>(D5-C5)/C5</f>
        <v>7.4502904306653336E-2</v>
      </c>
      <c r="E14" s="13">
        <f>(E5-D5)/D5</f>
        <v>-1.6638975173974682E-2</v>
      </c>
      <c r="F14" s="13">
        <f>(F5-E5)/E5</f>
        <v>7.3326313727410691E-2</v>
      </c>
      <c r="G14" s="14" t="s">
        <v>55</v>
      </c>
    </row>
    <row r="15" spans="1:7" x14ac:dyDescent="0.3">
      <c r="A15" s="74"/>
    </row>
    <row r="16" spans="1:7" ht="15.75" customHeight="1" x14ac:dyDescent="0.3">
      <c r="A16" s="116" t="s">
        <v>56</v>
      </c>
      <c r="B16" s="104"/>
      <c r="C16" s="104"/>
      <c r="D16" s="104"/>
      <c r="E16" s="104"/>
      <c r="F16" s="104"/>
      <c r="G16" s="104"/>
    </row>
  </sheetData>
  <mergeCells count="6">
    <mergeCell ref="A16:G16"/>
    <mergeCell ref="A13:G13"/>
    <mergeCell ref="A1:G1"/>
    <mergeCell ref="A9:G9"/>
    <mergeCell ref="A4:G4"/>
    <mergeCell ref="A2:G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32"/>
  </sheetPr>
  <dimension ref="A1:G16"/>
  <sheetViews>
    <sheetView showGridLines="0" zoomScaleNormal="100" workbookViewId="0">
      <selection sqref="A1:G1"/>
    </sheetView>
  </sheetViews>
  <sheetFormatPr defaultColWidth="8.6640625" defaultRowHeight="14.4" x14ac:dyDescent="0.3"/>
  <cols>
    <col min="1" max="1" width="32" customWidth="1"/>
    <col min="2" max="6" width="16" customWidth="1"/>
    <col min="7" max="7" width="22" customWidth="1"/>
  </cols>
  <sheetData>
    <row r="1" spans="1:7" ht="30" customHeight="1" x14ac:dyDescent="0.3">
      <c r="A1" s="117" t="s">
        <v>57</v>
      </c>
      <c r="B1" s="104"/>
      <c r="C1" s="104"/>
      <c r="D1" s="104"/>
      <c r="E1" s="104"/>
      <c r="F1" s="104"/>
      <c r="G1" s="104"/>
    </row>
    <row r="2" spans="1:7" ht="15.75" customHeight="1" x14ac:dyDescent="0.3">
      <c r="A2" s="115" t="s">
        <v>35</v>
      </c>
      <c r="B2" s="104"/>
      <c r="C2" s="104"/>
      <c r="D2" s="104"/>
      <c r="E2" s="104"/>
      <c r="F2" s="104"/>
      <c r="G2" s="104"/>
    </row>
    <row r="3" spans="1:7" ht="21.75" customHeight="1" x14ac:dyDescent="0.3">
      <c r="A3" s="83" t="s">
        <v>36</v>
      </c>
      <c r="B3" s="15" t="s">
        <v>37</v>
      </c>
      <c r="C3" s="15" t="s">
        <v>38</v>
      </c>
      <c r="D3" s="15" t="s">
        <v>39</v>
      </c>
      <c r="E3" s="15" t="s">
        <v>40</v>
      </c>
      <c r="F3" s="15" t="s">
        <v>41</v>
      </c>
      <c r="G3" s="15" t="s">
        <v>42</v>
      </c>
    </row>
    <row r="4" spans="1:7" ht="19.5" customHeight="1" x14ac:dyDescent="0.3">
      <c r="A4" s="111" t="s">
        <v>43</v>
      </c>
      <c r="B4" s="104"/>
      <c r="C4" s="104"/>
      <c r="D4" s="104"/>
      <c r="E4" s="104"/>
      <c r="F4" s="104"/>
      <c r="G4" s="104"/>
    </row>
    <row r="5" spans="1:7" ht="18" customHeight="1" x14ac:dyDescent="0.3">
      <c r="A5" s="79" t="s">
        <v>44</v>
      </c>
      <c r="B5" s="5" t="s">
        <v>45</v>
      </c>
      <c r="C5" s="6">
        <v>1289.2</v>
      </c>
      <c r="D5" s="6">
        <v>1616</v>
      </c>
      <c r="E5" s="6">
        <v>1856.2</v>
      </c>
      <c r="F5" s="6">
        <v>1933.9</v>
      </c>
      <c r="G5" s="7">
        <f>(F5/C5)^(1/3)-1</f>
        <v>0.14473397390285836</v>
      </c>
    </row>
    <row r="6" spans="1:7" ht="18" customHeight="1" x14ac:dyDescent="0.3">
      <c r="A6" s="80" t="s">
        <v>46</v>
      </c>
      <c r="B6" s="8" t="s">
        <v>45</v>
      </c>
      <c r="C6" s="9">
        <v>99.6</v>
      </c>
      <c r="D6" s="9">
        <v>241.1</v>
      </c>
      <c r="E6" s="9">
        <v>220.3</v>
      </c>
      <c r="F6" s="9">
        <v>256.7</v>
      </c>
      <c r="G6" s="7">
        <f>(F6/C6)^(1/3)-1</f>
        <v>0.3710569989313508</v>
      </c>
    </row>
    <row r="7" spans="1:7" ht="18" customHeight="1" x14ac:dyDescent="0.3">
      <c r="A7" s="79" t="s">
        <v>47</v>
      </c>
      <c r="B7" s="5" t="s">
        <v>45</v>
      </c>
      <c r="C7" s="6">
        <v>107.2</v>
      </c>
      <c r="D7" s="6">
        <v>282.2</v>
      </c>
      <c r="E7" s="6">
        <v>253.2</v>
      </c>
      <c r="F7" s="6">
        <v>222.9</v>
      </c>
      <c r="G7" s="7">
        <f>(F7/C7)^(1/3)-1</f>
        <v>0.27635581413232169</v>
      </c>
    </row>
    <row r="8" spans="1:7" ht="18" customHeight="1" x14ac:dyDescent="0.3">
      <c r="A8" s="80" t="s">
        <v>48</v>
      </c>
      <c r="B8" s="8" t="s">
        <v>45</v>
      </c>
      <c r="C8" s="9">
        <v>88.9</v>
      </c>
      <c r="D8" s="9">
        <v>222.5</v>
      </c>
      <c r="E8" s="9">
        <v>199.8</v>
      </c>
      <c r="F8" s="9">
        <v>183.7</v>
      </c>
      <c r="G8" s="7">
        <f>(F8/C8)^(1/3)-1</f>
        <v>0.27370581566824592</v>
      </c>
    </row>
    <row r="9" spans="1:7" ht="19.5" customHeight="1" x14ac:dyDescent="0.3">
      <c r="A9" s="111" t="s">
        <v>49</v>
      </c>
      <c r="B9" s="104"/>
      <c r="C9" s="104"/>
      <c r="D9" s="104"/>
      <c r="E9" s="104"/>
      <c r="F9" s="104"/>
      <c r="G9" s="104"/>
    </row>
    <row r="10" spans="1:7" ht="18" customHeight="1" x14ac:dyDescent="0.3">
      <c r="A10" s="81" t="s">
        <v>50</v>
      </c>
      <c r="B10" s="10" t="s">
        <v>45</v>
      </c>
      <c r="C10" s="11">
        <v>2988</v>
      </c>
      <c r="D10" s="11">
        <v>3174.9</v>
      </c>
      <c r="E10" s="11">
        <v>2957.9</v>
      </c>
      <c r="F10" s="11">
        <v>2850.9</v>
      </c>
      <c r="G10" s="7">
        <f>(F10/C10)^(1/3)-1</f>
        <v>-1.5534585093589515E-2</v>
      </c>
    </row>
    <row r="11" spans="1:7" ht="18" customHeight="1" x14ac:dyDescent="0.3">
      <c r="A11" s="80" t="s">
        <v>51</v>
      </c>
      <c r="B11" s="8" t="s">
        <v>45</v>
      </c>
      <c r="C11" s="9">
        <v>2215.3000000000002</v>
      </c>
      <c r="D11" s="9">
        <v>2354.6999999999998</v>
      </c>
      <c r="E11" s="9">
        <v>2130.5</v>
      </c>
      <c r="F11" s="9">
        <v>2092.6</v>
      </c>
      <c r="G11" s="7">
        <f>(F11/C11)^(1/3)-1</f>
        <v>-1.8814267443137855E-2</v>
      </c>
    </row>
    <row r="12" spans="1:7" ht="18" customHeight="1" x14ac:dyDescent="0.3">
      <c r="A12" s="81" t="s">
        <v>52</v>
      </c>
      <c r="B12" s="10" t="s">
        <v>45</v>
      </c>
      <c r="C12" s="11">
        <v>41.2</v>
      </c>
      <c r="D12" s="11">
        <v>54.5</v>
      </c>
      <c r="E12" s="11">
        <v>198.9</v>
      </c>
      <c r="F12" s="11">
        <v>86</v>
      </c>
      <c r="G12" s="7">
        <f>(F12/C12)^(1/3)-1</f>
        <v>0.27800850811395184</v>
      </c>
    </row>
    <row r="13" spans="1:7" ht="19.5" customHeight="1" x14ac:dyDescent="0.3">
      <c r="A13" s="111" t="s">
        <v>53</v>
      </c>
      <c r="B13" s="104"/>
      <c r="C13" s="104"/>
      <c r="D13" s="104"/>
      <c r="E13" s="104"/>
      <c r="F13" s="104"/>
      <c r="G13" s="104"/>
    </row>
    <row r="14" spans="1:7" ht="18" customHeight="1" x14ac:dyDescent="0.3">
      <c r="A14" s="82" t="s">
        <v>54</v>
      </c>
      <c r="B14" s="12" t="s">
        <v>45</v>
      </c>
      <c r="C14" s="12" t="s">
        <v>45</v>
      </c>
      <c r="D14" s="13">
        <f>(D5-C5)/C5</f>
        <v>0.25349053676698724</v>
      </c>
      <c r="E14" s="13">
        <f>(E5-D5)/D5</f>
        <v>0.14863861386138616</v>
      </c>
      <c r="F14" s="13">
        <f>(F5-E5)/E5</f>
        <v>4.1859713392953371E-2</v>
      </c>
      <c r="G14" s="14" t="s">
        <v>55</v>
      </c>
    </row>
    <row r="15" spans="1:7" x14ac:dyDescent="0.3">
      <c r="A15" s="74"/>
    </row>
    <row r="16" spans="1:7" ht="15.75" customHeight="1" x14ac:dyDescent="0.3">
      <c r="A16" s="116" t="s">
        <v>56</v>
      </c>
      <c r="B16" s="104"/>
      <c r="C16" s="104"/>
      <c r="D16" s="104"/>
      <c r="E16" s="104"/>
      <c r="F16" s="104"/>
      <c r="G16" s="104"/>
    </row>
  </sheetData>
  <mergeCells count="6">
    <mergeCell ref="A16:G16"/>
    <mergeCell ref="A13:G13"/>
    <mergeCell ref="A1:G1"/>
    <mergeCell ref="A9:G9"/>
    <mergeCell ref="A4:G4"/>
    <mergeCell ref="A2:G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5C00"/>
  </sheetPr>
  <dimension ref="A1:G16"/>
  <sheetViews>
    <sheetView showGridLines="0" zoomScaleNormal="100" workbookViewId="0">
      <selection sqref="A1:G1"/>
    </sheetView>
  </sheetViews>
  <sheetFormatPr defaultColWidth="8.6640625" defaultRowHeight="14.4" x14ac:dyDescent="0.3"/>
  <cols>
    <col min="1" max="1" width="32" customWidth="1"/>
    <col min="2" max="6" width="16" customWidth="1"/>
    <col min="7" max="7" width="22" customWidth="1"/>
  </cols>
  <sheetData>
    <row r="1" spans="1:7" ht="30" customHeight="1" x14ac:dyDescent="0.3">
      <c r="A1" s="118" t="s">
        <v>58</v>
      </c>
      <c r="B1" s="104"/>
      <c r="C1" s="104"/>
      <c r="D1" s="104"/>
      <c r="E1" s="104"/>
      <c r="F1" s="104"/>
      <c r="G1" s="104"/>
    </row>
    <row r="2" spans="1:7" ht="15.75" customHeight="1" x14ac:dyDescent="0.3">
      <c r="A2" s="115" t="s">
        <v>35</v>
      </c>
      <c r="B2" s="104"/>
      <c r="C2" s="104"/>
      <c r="D2" s="104"/>
      <c r="E2" s="104"/>
      <c r="F2" s="104"/>
      <c r="G2" s="104"/>
    </row>
    <row r="3" spans="1:7" ht="21.75" customHeight="1" x14ac:dyDescent="0.3">
      <c r="A3" s="84" t="s">
        <v>36</v>
      </c>
      <c r="B3" s="16" t="s">
        <v>37</v>
      </c>
      <c r="C3" s="16" t="s">
        <v>38</v>
      </c>
      <c r="D3" s="16" t="s">
        <v>39</v>
      </c>
      <c r="E3" s="16" t="s">
        <v>40</v>
      </c>
      <c r="F3" s="16" t="s">
        <v>41</v>
      </c>
      <c r="G3" s="16" t="s">
        <v>42</v>
      </c>
    </row>
    <row r="4" spans="1:7" ht="19.5" customHeight="1" x14ac:dyDescent="0.3">
      <c r="A4" s="111" t="s">
        <v>43</v>
      </c>
      <c r="B4" s="104"/>
      <c r="C4" s="104"/>
      <c r="D4" s="104"/>
      <c r="E4" s="104"/>
      <c r="F4" s="104"/>
      <c r="G4" s="104"/>
    </row>
    <row r="5" spans="1:7" ht="18" customHeight="1" x14ac:dyDescent="0.3">
      <c r="A5" s="79" t="s">
        <v>44</v>
      </c>
      <c r="B5" s="5" t="s">
        <v>45</v>
      </c>
      <c r="C5" s="6">
        <v>1509.6</v>
      </c>
      <c r="D5" s="6">
        <v>1770.3</v>
      </c>
      <c r="E5" s="6">
        <v>2131.9</v>
      </c>
      <c r="F5" s="6">
        <v>2407.1999999999998</v>
      </c>
      <c r="G5" s="7">
        <f>(F5/C5)^(1/3)-1</f>
        <v>0.16828848413868736</v>
      </c>
    </row>
    <row r="6" spans="1:7" ht="18" customHeight="1" x14ac:dyDescent="0.3">
      <c r="A6" s="80" t="s">
        <v>46</v>
      </c>
      <c r="B6" s="8" t="s">
        <v>45</v>
      </c>
      <c r="C6" s="9">
        <v>192.8</v>
      </c>
      <c r="D6" s="9">
        <v>202.4</v>
      </c>
      <c r="E6" s="9">
        <v>224.9</v>
      </c>
      <c r="F6" s="9">
        <v>524.1</v>
      </c>
      <c r="G6" s="7">
        <f>(F6/C6)^(1/3)-1</f>
        <v>0.39562597358592955</v>
      </c>
    </row>
    <row r="7" spans="1:7" ht="18" customHeight="1" x14ac:dyDescent="0.3">
      <c r="A7" s="79" t="s">
        <v>47</v>
      </c>
      <c r="B7" s="5" t="s">
        <v>45</v>
      </c>
      <c r="C7" s="6">
        <v>193.2</v>
      </c>
      <c r="D7" s="6">
        <v>194.7</v>
      </c>
      <c r="E7" s="6">
        <v>227.9</v>
      </c>
      <c r="F7" s="6">
        <v>565.5</v>
      </c>
      <c r="G7" s="7">
        <f>(F7/C7)^(1/3)-1</f>
        <v>0.43045816957473759</v>
      </c>
    </row>
    <row r="8" spans="1:7" ht="18" customHeight="1" x14ac:dyDescent="0.3">
      <c r="A8" s="80" t="s">
        <v>48</v>
      </c>
      <c r="B8" s="8" t="s">
        <v>45</v>
      </c>
      <c r="C8" s="9">
        <v>141.4</v>
      </c>
      <c r="D8" s="9">
        <v>142.6</v>
      </c>
      <c r="E8" s="9">
        <v>169.1</v>
      </c>
      <c r="F8" s="9">
        <v>425.5</v>
      </c>
      <c r="G8" s="7">
        <f>(F8/C8)^(1/3)-1</f>
        <v>0.44372137008951862</v>
      </c>
    </row>
    <row r="9" spans="1:7" ht="19.5" customHeight="1" x14ac:dyDescent="0.3">
      <c r="A9" s="111" t="s">
        <v>49</v>
      </c>
      <c r="B9" s="104"/>
      <c r="C9" s="104"/>
      <c r="D9" s="104"/>
      <c r="E9" s="104"/>
      <c r="F9" s="104"/>
      <c r="G9" s="104"/>
    </row>
    <row r="10" spans="1:7" ht="18" customHeight="1" x14ac:dyDescent="0.3">
      <c r="A10" s="81" t="s">
        <v>50</v>
      </c>
      <c r="B10" s="10" t="s">
        <v>45</v>
      </c>
      <c r="C10" s="11">
        <v>2476</v>
      </c>
      <c r="D10" s="11">
        <v>2536.9</v>
      </c>
      <c r="E10" s="11">
        <v>2578.8000000000002</v>
      </c>
      <c r="F10" s="11">
        <v>2992.7</v>
      </c>
      <c r="G10" s="7">
        <f>(F10/C10)^(1/3)-1</f>
        <v>6.5215591188187316E-2</v>
      </c>
    </row>
    <row r="11" spans="1:7" ht="18" customHeight="1" x14ac:dyDescent="0.3">
      <c r="A11" s="80" t="s">
        <v>51</v>
      </c>
      <c r="B11" s="8" t="s">
        <v>45</v>
      </c>
      <c r="C11" s="9">
        <v>1822.9</v>
      </c>
      <c r="D11" s="9">
        <v>1887.5</v>
      </c>
      <c r="E11" s="9">
        <v>1944.7</v>
      </c>
      <c r="F11" s="9">
        <v>2224.6</v>
      </c>
      <c r="G11" s="7">
        <f>(F11/C11)^(1/3)-1</f>
        <v>6.8635742772376274E-2</v>
      </c>
    </row>
    <row r="12" spans="1:7" ht="18" customHeight="1" x14ac:dyDescent="0.3">
      <c r="A12" s="81" t="s">
        <v>52</v>
      </c>
      <c r="B12" s="10" t="s">
        <v>45</v>
      </c>
      <c r="C12" s="11">
        <v>56.3</v>
      </c>
      <c r="D12" s="11">
        <v>22.6</v>
      </c>
      <c r="E12" s="11">
        <v>32.5</v>
      </c>
      <c r="F12" s="11">
        <v>22.5</v>
      </c>
      <c r="G12" s="7">
        <f>(F12/C12)^(1/3)-1</f>
        <v>-0.2634118839683417</v>
      </c>
    </row>
    <row r="13" spans="1:7" ht="19.5" customHeight="1" x14ac:dyDescent="0.3">
      <c r="A13" s="111" t="s">
        <v>53</v>
      </c>
      <c r="B13" s="104"/>
      <c r="C13" s="104"/>
      <c r="D13" s="104"/>
      <c r="E13" s="104"/>
      <c r="F13" s="104"/>
      <c r="G13" s="104"/>
    </row>
    <row r="14" spans="1:7" ht="18" customHeight="1" x14ac:dyDescent="0.3">
      <c r="A14" s="82" t="s">
        <v>54</v>
      </c>
      <c r="B14" s="12" t="s">
        <v>45</v>
      </c>
      <c r="C14" s="12" t="s">
        <v>45</v>
      </c>
      <c r="D14" s="13">
        <f>(D5-C5)/C5</f>
        <v>0.17269475357710656</v>
      </c>
      <c r="E14" s="13">
        <f>(E5-D5)/D5</f>
        <v>0.20425916511325773</v>
      </c>
      <c r="F14" s="13">
        <f>(F5-E5)/E5</f>
        <v>0.12913363666213223</v>
      </c>
      <c r="G14" s="14" t="s">
        <v>55</v>
      </c>
    </row>
    <row r="15" spans="1:7" x14ac:dyDescent="0.3">
      <c r="A15" s="74"/>
    </row>
    <row r="16" spans="1:7" ht="15.75" customHeight="1" x14ac:dyDescent="0.3">
      <c r="A16" s="116" t="s">
        <v>56</v>
      </c>
      <c r="B16" s="104"/>
      <c r="C16" s="104"/>
      <c r="D16" s="104"/>
      <c r="E16" s="104"/>
      <c r="F16" s="104"/>
      <c r="G16" s="104"/>
    </row>
  </sheetData>
  <mergeCells count="6">
    <mergeCell ref="A16:G16"/>
    <mergeCell ref="A13:G13"/>
    <mergeCell ref="A1:G1"/>
    <mergeCell ref="A9:G9"/>
    <mergeCell ref="A4:G4"/>
    <mergeCell ref="A2:G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E27"/>
  <sheetViews>
    <sheetView showGridLines="0" zoomScaleNormal="100" workbookViewId="0">
      <selection sqref="A1:E1"/>
    </sheetView>
  </sheetViews>
  <sheetFormatPr defaultColWidth="8.6640625" defaultRowHeight="14.4" x14ac:dyDescent="0.3"/>
  <cols>
    <col min="1" max="1" width="32" customWidth="1"/>
    <col min="2" max="5" width="16" customWidth="1"/>
  </cols>
  <sheetData>
    <row r="1" spans="1:5" ht="30" customHeight="1" x14ac:dyDescent="0.3">
      <c r="A1" s="119" t="s">
        <v>59</v>
      </c>
      <c r="B1" s="104"/>
      <c r="C1" s="104"/>
      <c r="D1" s="104"/>
      <c r="E1" s="104"/>
    </row>
    <row r="2" spans="1:5" ht="15.75" customHeight="1" x14ac:dyDescent="0.3">
      <c r="A2" s="115" t="s">
        <v>60</v>
      </c>
      <c r="B2" s="104"/>
      <c r="C2" s="104"/>
      <c r="D2" s="104"/>
      <c r="E2" s="104"/>
    </row>
    <row r="3" spans="1:5" ht="21.75" customHeight="1" x14ac:dyDescent="0.3">
      <c r="A3" s="75" t="s">
        <v>61</v>
      </c>
      <c r="B3" s="1" t="s">
        <v>38</v>
      </c>
      <c r="C3" s="1" t="s">
        <v>39</v>
      </c>
      <c r="D3" s="1" t="s">
        <v>40</v>
      </c>
      <c r="E3" s="1" t="s">
        <v>41</v>
      </c>
    </row>
    <row r="4" spans="1:5" ht="19.5" customHeight="1" x14ac:dyDescent="0.3">
      <c r="A4" s="111" t="s">
        <v>62</v>
      </c>
      <c r="B4" s="104"/>
      <c r="C4" s="104"/>
      <c r="D4" s="104"/>
      <c r="E4" s="104"/>
    </row>
    <row r="5" spans="1:5" ht="18" customHeight="1" x14ac:dyDescent="0.3">
      <c r="A5" s="85" t="s">
        <v>63</v>
      </c>
      <c r="B5" s="17">
        <f>ZEEL!C5</f>
        <v>7729.9</v>
      </c>
      <c r="C5" s="17">
        <f>ZEEL!D5</f>
        <v>8305.7999999999993</v>
      </c>
      <c r="D5" s="17">
        <f>ZEEL!E5</f>
        <v>8167.6</v>
      </c>
      <c r="E5" s="17">
        <f>ZEEL!F5</f>
        <v>8766.5</v>
      </c>
    </row>
    <row r="6" spans="1:5" ht="18" customHeight="1" x14ac:dyDescent="0.3">
      <c r="A6" s="86" t="s">
        <v>64</v>
      </c>
      <c r="B6" s="17">
        <f>JAGRAN!C5</f>
        <v>1289.2</v>
      </c>
      <c r="C6" s="17">
        <f>JAGRAN!D5</f>
        <v>1616</v>
      </c>
      <c r="D6" s="17">
        <f>JAGRAN!E5</f>
        <v>1856.2</v>
      </c>
      <c r="E6" s="17">
        <f>JAGRAN!F5</f>
        <v>1933.9</v>
      </c>
    </row>
    <row r="7" spans="1:5" ht="18" customHeight="1" x14ac:dyDescent="0.3">
      <c r="A7" s="87" t="s">
        <v>65</v>
      </c>
      <c r="B7" s="17">
        <f>DBCORP!C5</f>
        <v>1509.6</v>
      </c>
      <c r="C7" s="17">
        <f>DBCORP!D5</f>
        <v>1770.3</v>
      </c>
      <c r="D7" s="17">
        <f>DBCORP!E5</f>
        <v>2131.9</v>
      </c>
      <c r="E7" s="17">
        <f>DBCORP!F5</f>
        <v>2407.1999999999998</v>
      </c>
    </row>
    <row r="8" spans="1:5" x14ac:dyDescent="0.3">
      <c r="A8" s="74"/>
    </row>
    <row r="9" spans="1:5" ht="19.5" customHeight="1" x14ac:dyDescent="0.3">
      <c r="A9" s="111" t="s">
        <v>66</v>
      </c>
      <c r="B9" s="104"/>
      <c r="C9" s="104"/>
      <c r="D9" s="104"/>
      <c r="E9" s="104"/>
    </row>
    <row r="10" spans="1:5" ht="18" customHeight="1" x14ac:dyDescent="0.3">
      <c r="A10" s="85" t="s">
        <v>63</v>
      </c>
      <c r="B10" s="17">
        <f>ZEEL!C8</f>
        <v>800.1</v>
      </c>
      <c r="C10" s="17">
        <f>ZEEL!D8</f>
        <v>964.6</v>
      </c>
      <c r="D10" s="17">
        <f>ZEEL!E8</f>
        <v>47.8</v>
      </c>
      <c r="E10" s="17">
        <f>ZEEL!F8</f>
        <v>141.4</v>
      </c>
    </row>
    <row r="11" spans="1:5" ht="18" customHeight="1" x14ac:dyDescent="0.3">
      <c r="A11" s="86" t="s">
        <v>64</v>
      </c>
      <c r="B11" s="17">
        <f>JAGRAN!C8</f>
        <v>88.9</v>
      </c>
      <c r="C11" s="17">
        <f>JAGRAN!D8</f>
        <v>222.5</v>
      </c>
      <c r="D11" s="17">
        <f>JAGRAN!E8</f>
        <v>199.8</v>
      </c>
      <c r="E11" s="17">
        <f>JAGRAN!F8</f>
        <v>183.7</v>
      </c>
    </row>
    <row r="12" spans="1:5" ht="18" customHeight="1" x14ac:dyDescent="0.3">
      <c r="A12" s="87" t="s">
        <v>65</v>
      </c>
      <c r="B12" s="17">
        <f>DBCORP!C8</f>
        <v>141.4</v>
      </c>
      <c r="C12" s="17">
        <f>DBCORP!D8</f>
        <v>142.6</v>
      </c>
      <c r="D12" s="17">
        <f>DBCORP!E8</f>
        <v>169.1</v>
      </c>
      <c r="E12" s="17">
        <f>DBCORP!F8</f>
        <v>425.5</v>
      </c>
    </row>
    <row r="13" spans="1:5" x14ac:dyDescent="0.3">
      <c r="A13" s="74"/>
    </row>
    <row r="14" spans="1:5" ht="19.5" customHeight="1" x14ac:dyDescent="0.3">
      <c r="A14" s="111" t="s">
        <v>67</v>
      </c>
      <c r="B14" s="104"/>
      <c r="C14" s="104"/>
      <c r="D14" s="104"/>
      <c r="E14" s="104"/>
    </row>
    <row r="15" spans="1:5" ht="18" customHeight="1" x14ac:dyDescent="0.3">
      <c r="A15" s="85" t="s">
        <v>63</v>
      </c>
      <c r="B15" s="17">
        <f>ZEEL!C10</f>
        <v>12818.7</v>
      </c>
      <c r="C15" s="17">
        <f>ZEEL!D10</f>
        <v>13239.6</v>
      </c>
      <c r="D15" s="17">
        <f>ZEEL!E10</f>
        <v>13728.3</v>
      </c>
      <c r="E15" s="17">
        <f>ZEEL!F10</f>
        <v>13449.7</v>
      </c>
    </row>
    <row r="16" spans="1:5" ht="18" customHeight="1" x14ac:dyDescent="0.3">
      <c r="A16" s="86" t="s">
        <v>64</v>
      </c>
      <c r="B16" s="17">
        <f>JAGRAN!C10</f>
        <v>2988</v>
      </c>
      <c r="C16" s="17">
        <f>JAGRAN!D10</f>
        <v>3174.9</v>
      </c>
      <c r="D16" s="17">
        <f>JAGRAN!E10</f>
        <v>2957.9</v>
      </c>
      <c r="E16" s="17">
        <f>JAGRAN!F10</f>
        <v>2850.9</v>
      </c>
    </row>
    <row r="17" spans="1:5" ht="18" customHeight="1" x14ac:dyDescent="0.3">
      <c r="A17" s="87" t="s">
        <v>65</v>
      </c>
      <c r="B17" s="17">
        <f>DBCORP!C10</f>
        <v>2476</v>
      </c>
      <c r="C17" s="17">
        <f>DBCORP!D10</f>
        <v>2536.9</v>
      </c>
      <c r="D17" s="17">
        <f>DBCORP!E10</f>
        <v>2578.8000000000002</v>
      </c>
      <c r="E17" s="17">
        <f>DBCORP!F10</f>
        <v>2992.7</v>
      </c>
    </row>
    <row r="18" spans="1:5" x14ac:dyDescent="0.3">
      <c r="A18" s="74"/>
    </row>
    <row r="19" spans="1:5" ht="19.5" customHeight="1" x14ac:dyDescent="0.3">
      <c r="A19" s="111" t="s">
        <v>68</v>
      </c>
      <c r="B19" s="104"/>
      <c r="C19" s="104"/>
      <c r="D19" s="104"/>
      <c r="E19" s="104"/>
    </row>
    <row r="20" spans="1:5" ht="18" customHeight="1" x14ac:dyDescent="0.3">
      <c r="A20" s="85" t="s">
        <v>63</v>
      </c>
      <c r="B20" s="17">
        <f>ZEEL!C11</f>
        <v>10110</v>
      </c>
      <c r="C20" s="17">
        <f>ZEEL!D11</f>
        <v>10865.2</v>
      </c>
      <c r="D20" s="17">
        <f>ZEEL!E11</f>
        <v>10721.9</v>
      </c>
      <c r="E20" s="17">
        <f>ZEEL!F11</f>
        <v>10875.3</v>
      </c>
    </row>
    <row r="21" spans="1:5" ht="18" customHeight="1" x14ac:dyDescent="0.3">
      <c r="A21" s="86" t="s">
        <v>64</v>
      </c>
      <c r="B21" s="17">
        <f>JAGRAN!C11</f>
        <v>2215.3000000000002</v>
      </c>
      <c r="C21" s="17">
        <f>JAGRAN!D11</f>
        <v>2354.6999999999998</v>
      </c>
      <c r="D21" s="17">
        <f>JAGRAN!E11</f>
        <v>2130.5</v>
      </c>
      <c r="E21" s="17">
        <f>JAGRAN!F11</f>
        <v>2092.6</v>
      </c>
    </row>
    <row r="22" spans="1:5" ht="18" customHeight="1" x14ac:dyDescent="0.3">
      <c r="A22" s="87" t="s">
        <v>65</v>
      </c>
      <c r="B22" s="17">
        <f>DBCORP!C11</f>
        <v>1822.9</v>
      </c>
      <c r="C22" s="17">
        <f>DBCORP!D11</f>
        <v>1887.5</v>
      </c>
      <c r="D22" s="17">
        <f>DBCORP!E11</f>
        <v>1944.7</v>
      </c>
      <c r="E22" s="17">
        <f>DBCORP!F11</f>
        <v>2224.6</v>
      </c>
    </row>
    <row r="23" spans="1:5" x14ac:dyDescent="0.3">
      <c r="A23" s="74"/>
    </row>
    <row r="24" spans="1:5" ht="19.5" customHeight="1" x14ac:dyDescent="0.3">
      <c r="A24" s="111" t="s">
        <v>69</v>
      </c>
      <c r="B24" s="104"/>
      <c r="C24" s="104"/>
      <c r="D24" s="104"/>
      <c r="E24" s="104"/>
    </row>
    <row r="25" spans="1:5" ht="18" customHeight="1" x14ac:dyDescent="0.3">
      <c r="A25" s="85" t="s">
        <v>63</v>
      </c>
      <c r="B25" s="17">
        <f>ZEEL!C12</f>
        <v>423.1</v>
      </c>
      <c r="C25" s="17">
        <f>ZEEL!D12</f>
        <v>76.3</v>
      </c>
      <c r="D25" s="17">
        <f>ZEEL!E12</f>
        <v>282</v>
      </c>
      <c r="E25" s="17">
        <f>ZEEL!F12</f>
        <v>181</v>
      </c>
    </row>
    <row r="26" spans="1:5" ht="18" customHeight="1" x14ac:dyDescent="0.3">
      <c r="A26" s="86" t="s">
        <v>64</v>
      </c>
      <c r="B26" s="17">
        <f>JAGRAN!C12</f>
        <v>41.2</v>
      </c>
      <c r="C26" s="17">
        <f>JAGRAN!D12</f>
        <v>54.5</v>
      </c>
      <c r="D26" s="17">
        <f>JAGRAN!E12</f>
        <v>198.9</v>
      </c>
      <c r="E26" s="17">
        <f>JAGRAN!F12</f>
        <v>86</v>
      </c>
    </row>
    <row r="27" spans="1:5" ht="18" customHeight="1" x14ac:dyDescent="0.3">
      <c r="A27" s="87" t="s">
        <v>65</v>
      </c>
      <c r="B27" s="17">
        <f>DBCORP!C12</f>
        <v>56.3</v>
      </c>
      <c r="C27" s="17">
        <f>DBCORP!D12</f>
        <v>22.6</v>
      </c>
      <c r="D27" s="17">
        <f>DBCORP!E12</f>
        <v>32.5</v>
      </c>
      <c r="E27" s="17">
        <f>DBCORP!F12</f>
        <v>22.5</v>
      </c>
    </row>
  </sheetData>
  <mergeCells count="7">
    <mergeCell ref="A4:E4"/>
    <mergeCell ref="A24:E24"/>
    <mergeCell ref="A2:E2"/>
    <mergeCell ref="A19:E19"/>
    <mergeCell ref="A1:E1"/>
    <mergeCell ref="A14:E14"/>
    <mergeCell ref="A9:E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B1FA2"/>
  </sheetPr>
  <dimension ref="A1:O27"/>
  <sheetViews>
    <sheetView showGridLines="0" zoomScaleNormal="100" workbookViewId="0">
      <selection activeCell="B6" sqref="B6"/>
    </sheetView>
  </sheetViews>
  <sheetFormatPr defaultColWidth="8.6640625" defaultRowHeight="14.4" x14ac:dyDescent="0.3"/>
  <cols>
    <col min="1" max="1" width="26" customWidth="1"/>
    <col min="2" max="13" width="10" customWidth="1"/>
    <col min="14" max="14" width="2" customWidth="1"/>
    <col min="15" max="15" width="52" customWidth="1"/>
  </cols>
  <sheetData>
    <row r="1" spans="1:15" ht="30" customHeight="1" x14ac:dyDescent="0.3">
      <c r="A1" s="119" t="s">
        <v>70</v>
      </c>
      <c r="B1" s="104"/>
      <c r="C1" s="104"/>
      <c r="D1" s="104"/>
      <c r="E1" s="104"/>
      <c r="F1" s="104"/>
      <c r="G1" s="104"/>
      <c r="H1" s="104"/>
      <c r="I1" s="104"/>
      <c r="J1" s="104"/>
      <c r="K1" s="104"/>
      <c r="L1" s="104"/>
      <c r="M1" s="104"/>
      <c r="N1" s="104"/>
      <c r="O1" s="104"/>
    </row>
    <row r="2" spans="1:15" ht="15.75" customHeight="1" x14ac:dyDescent="0.3">
      <c r="A2" s="115" t="s">
        <v>71</v>
      </c>
      <c r="B2" s="104"/>
      <c r="C2" s="104"/>
      <c r="D2" s="104"/>
      <c r="E2" s="104"/>
      <c r="F2" s="104"/>
      <c r="G2" s="104"/>
      <c r="H2" s="104"/>
      <c r="I2" s="104"/>
      <c r="J2" s="104"/>
      <c r="K2" s="104"/>
      <c r="L2" s="104"/>
      <c r="M2" s="104"/>
      <c r="N2" s="104"/>
      <c r="O2" s="104"/>
    </row>
    <row r="3" spans="1:15" ht="19.5" customHeight="1" x14ac:dyDescent="0.3">
      <c r="A3" s="74"/>
      <c r="B3" s="122" t="s">
        <v>72</v>
      </c>
      <c r="C3" s="104"/>
      <c r="D3" s="104"/>
      <c r="E3" s="104"/>
      <c r="F3" s="120" t="s">
        <v>73</v>
      </c>
      <c r="G3" s="104"/>
      <c r="H3" s="104"/>
      <c r="I3" s="104"/>
      <c r="J3" s="121" t="s">
        <v>74</v>
      </c>
      <c r="K3" s="104"/>
      <c r="L3" s="104"/>
      <c r="M3" s="104"/>
      <c r="O3" s="18" t="s">
        <v>75</v>
      </c>
    </row>
    <row r="4" spans="1:15" ht="19.5" customHeight="1" x14ac:dyDescent="0.3">
      <c r="A4" s="75" t="s">
        <v>76</v>
      </c>
      <c r="B4" s="19" t="s">
        <v>38</v>
      </c>
      <c r="C4" s="19" t="s">
        <v>39</v>
      </c>
      <c r="D4" s="19" t="s">
        <v>40</v>
      </c>
      <c r="E4" s="19" t="s">
        <v>41</v>
      </c>
      <c r="F4" s="20" t="s">
        <v>38</v>
      </c>
      <c r="G4" s="20" t="s">
        <v>39</v>
      </c>
      <c r="H4" s="20" t="s">
        <v>40</v>
      </c>
      <c r="I4" s="20" t="s">
        <v>41</v>
      </c>
      <c r="J4" s="21" t="s">
        <v>38</v>
      </c>
      <c r="K4" s="21" t="s">
        <v>39</v>
      </c>
      <c r="L4" s="21" t="s">
        <v>40</v>
      </c>
      <c r="M4" s="21" t="s">
        <v>41</v>
      </c>
      <c r="O4" s="1" t="s">
        <v>77</v>
      </c>
    </row>
    <row r="5" spans="1:15" ht="19.5" customHeight="1" x14ac:dyDescent="0.3">
      <c r="A5" s="112" t="s">
        <v>78</v>
      </c>
      <c r="B5" s="104"/>
      <c r="C5" s="104"/>
      <c r="D5" s="104"/>
      <c r="E5" s="104"/>
      <c r="F5" s="104"/>
      <c r="G5" s="104"/>
      <c r="H5" s="104"/>
      <c r="I5" s="104"/>
      <c r="J5" s="104"/>
      <c r="K5" s="104"/>
      <c r="L5" s="104"/>
      <c r="M5" s="104"/>
      <c r="O5" s="22"/>
    </row>
    <row r="6" spans="1:15" ht="60" customHeight="1" x14ac:dyDescent="0.3">
      <c r="A6" s="88" t="s">
        <v>79</v>
      </c>
      <c r="B6" s="23">
        <f>ZEEL!C6/ZEEL!C5</f>
        <v>0.27391039987580695</v>
      </c>
      <c r="C6" s="23">
        <f>ZEEL!D6/ZEEL!D5</f>
        <v>0.20217197620939586</v>
      </c>
      <c r="D6" s="23">
        <f>ZEEL!E6/ZEEL!E5</f>
        <v>0.1062858122337039</v>
      </c>
      <c r="E6" s="23">
        <f>ZEEL!F6/ZEEL!F5</f>
        <v>8.2974961501169217E-2</v>
      </c>
      <c r="F6" s="23">
        <f>JAGRAN!C6/JAGRAN!C5</f>
        <v>7.7257213775985101E-2</v>
      </c>
      <c r="G6" s="23">
        <f>JAGRAN!D6/JAGRAN!D5</f>
        <v>0.14919554455445544</v>
      </c>
      <c r="H6" s="23">
        <f>JAGRAN!E6/JAGRAN!E5</f>
        <v>0.11868333153754984</v>
      </c>
      <c r="I6" s="23">
        <f>JAGRAN!F6/JAGRAN!F5</f>
        <v>0.13273695640932828</v>
      </c>
      <c r="J6" s="23">
        <f>DBCORP!C6/DBCORP!C5</f>
        <v>0.12771595124536303</v>
      </c>
      <c r="K6" s="23">
        <f>DBCORP!D6/DBCORP!D5</f>
        <v>0.11433090436649156</v>
      </c>
      <c r="L6" s="23">
        <f>DBCORP!E6/DBCORP!E5</f>
        <v>0.10549275294338384</v>
      </c>
      <c r="M6" s="23">
        <f>DBCORP!F6/DBCORP!F5</f>
        <v>0.2177218344965105</v>
      </c>
      <c r="O6" s="24" t="s">
        <v>80</v>
      </c>
    </row>
    <row r="7" spans="1:15" ht="60" customHeight="1" x14ac:dyDescent="0.3">
      <c r="A7" s="89" t="s">
        <v>81</v>
      </c>
      <c r="B7" s="25">
        <f>ZEEL!C8/ZEEL!C5</f>
        <v>0.10350716050660423</v>
      </c>
      <c r="C7" s="25">
        <f>ZEEL!D8/ZEEL!D5</f>
        <v>0.11613571239374897</v>
      </c>
      <c r="D7" s="25">
        <f>ZEEL!E8/ZEEL!E5</f>
        <v>5.8523923796464069E-3</v>
      </c>
      <c r="E7" s="25">
        <f>ZEEL!F8/ZEEL!F5</f>
        <v>1.6129584212627616E-2</v>
      </c>
      <c r="F7" s="25">
        <f>JAGRAN!C8/JAGRAN!C5</f>
        <v>6.8957493018926466E-2</v>
      </c>
      <c r="G7" s="25">
        <f>JAGRAN!D8/JAGRAN!D5</f>
        <v>0.13768564356435645</v>
      </c>
      <c r="H7" s="25">
        <f>JAGRAN!E8/JAGRAN!E5</f>
        <v>0.10763926301045146</v>
      </c>
      <c r="I7" s="25">
        <f>JAGRAN!F8/JAGRAN!F5</f>
        <v>9.4989399658720705E-2</v>
      </c>
      <c r="J7" s="25">
        <f>DBCORP!C8/DBCORP!C5</f>
        <v>9.3667196608373082E-2</v>
      </c>
      <c r="K7" s="25">
        <f>DBCORP!D8/DBCORP!D5</f>
        <v>8.0551318985482692E-2</v>
      </c>
      <c r="L7" s="25">
        <f>DBCORP!E8/DBCORP!E5</f>
        <v>7.9318917397626518E-2</v>
      </c>
      <c r="M7" s="25">
        <f>DBCORP!F8/DBCORP!F5</f>
        <v>0.17676138251910936</v>
      </c>
      <c r="O7" s="24" t="s">
        <v>82</v>
      </c>
    </row>
    <row r="8" spans="1:15" ht="60" customHeight="1" x14ac:dyDescent="0.3">
      <c r="A8" s="88" t="s">
        <v>83</v>
      </c>
      <c r="B8" s="23">
        <f>ZEEL!C7/ZEEL!C5</f>
        <v>0.16243418414209757</v>
      </c>
      <c r="C8" s="23">
        <f>ZEEL!D7/ZEEL!D5</f>
        <v>0.18041609477714371</v>
      </c>
      <c r="D8" s="23">
        <f>ZEEL!E7/ZEEL!E5</f>
        <v>5.7311817424947356E-2</v>
      </c>
      <c r="E8" s="23">
        <f>ZEEL!F7/ZEEL!F5</f>
        <v>4.3472309359493526E-2</v>
      </c>
      <c r="F8" s="23">
        <f>JAGRAN!C7/JAGRAN!C5</f>
        <v>8.3152342538008073E-2</v>
      </c>
      <c r="G8" s="23">
        <f>JAGRAN!D7/JAGRAN!D5</f>
        <v>0.17462871287128712</v>
      </c>
      <c r="H8" s="23">
        <f>JAGRAN!E7/JAGRAN!E5</f>
        <v>0.13640771468591745</v>
      </c>
      <c r="I8" s="23">
        <f>JAGRAN!F7/JAGRAN!F5</f>
        <v>0.11525932054397849</v>
      </c>
      <c r="J8" s="23">
        <f>DBCORP!C7/DBCORP!C5</f>
        <v>0.12798092209856915</v>
      </c>
      <c r="K8" s="23">
        <f>DBCORP!D7/DBCORP!D5</f>
        <v>0.10998135909167937</v>
      </c>
      <c r="L8" s="23">
        <f>DBCORP!E7/DBCORP!E5</f>
        <v>0.10689994840283315</v>
      </c>
      <c r="M8" s="23">
        <f>DBCORP!F7/DBCORP!F5</f>
        <v>0.23492023928215355</v>
      </c>
      <c r="O8" s="24" t="s">
        <v>84</v>
      </c>
    </row>
    <row r="9" spans="1:15" ht="60" customHeight="1" x14ac:dyDescent="0.3">
      <c r="A9" s="89" t="s">
        <v>85</v>
      </c>
      <c r="B9" s="25">
        <f>ZEEL!C8/ZEEL!C10</f>
        <v>6.2416625710875515E-2</v>
      </c>
      <c r="C9" s="25">
        <f>ZEEL!D8/ZEEL!D10</f>
        <v>7.2857186017704467E-2</v>
      </c>
      <c r="D9" s="25">
        <f>ZEEL!E8/ZEEL!E10</f>
        <v>3.4818586423664985E-3</v>
      </c>
      <c r="E9" s="25">
        <f>ZEEL!F8/ZEEL!F10</f>
        <v>1.0513245648601828E-2</v>
      </c>
      <c r="F9" s="25">
        <f>JAGRAN!C8/JAGRAN!C10</f>
        <v>2.9752342704149934E-2</v>
      </c>
      <c r="G9" s="25">
        <f>JAGRAN!D8/JAGRAN!D10</f>
        <v>7.0080947431415158E-2</v>
      </c>
      <c r="H9" s="25">
        <f>JAGRAN!E8/JAGRAN!E10</f>
        <v>6.7547922512593395E-2</v>
      </c>
      <c r="I9" s="25">
        <f>JAGRAN!F8/JAGRAN!F10</f>
        <v>6.4435792205970038E-2</v>
      </c>
      <c r="J9" s="25">
        <f>DBCORP!C8/DBCORP!C10</f>
        <v>5.7108239095315025E-2</v>
      </c>
      <c r="K9" s="25">
        <f>DBCORP!D8/DBCORP!D10</f>
        <v>5.6210335448776058E-2</v>
      </c>
      <c r="L9" s="25">
        <f>DBCORP!E8/DBCORP!E10</f>
        <v>6.5573134791375831E-2</v>
      </c>
      <c r="M9" s="25">
        <f>DBCORP!F8/DBCORP!F10</f>
        <v>0.14217930297056172</v>
      </c>
      <c r="O9" s="24" t="s">
        <v>86</v>
      </c>
    </row>
    <row r="10" spans="1:15" ht="60" customHeight="1" x14ac:dyDescent="0.3">
      <c r="A10" s="88" t="s">
        <v>87</v>
      </c>
      <c r="B10" s="23">
        <f>ZEEL!C8/ZEEL!C11</f>
        <v>7.9139465875370921E-2</v>
      </c>
      <c r="C10" s="23">
        <f>ZEEL!D8/ZEEL!D11</f>
        <v>8.8778853587600778E-2</v>
      </c>
      <c r="D10" s="23">
        <f>ZEEL!E8/ZEEL!E11</f>
        <v>4.4581650640278308E-3</v>
      </c>
      <c r="E10" s="23">
        <f>ZEEL!F8/ZEEL!F11</f>
        <v>1.3001940176362952E-2</v>
      </c>
      <c r="F10" s="23">
        <f>JAGRAN!C8/JAGRAN!C11</f>
        <v>4.0130004965467432E-2</v>
      </c>
      <c r="G10" s="23">
        <f>JAGRAN!D8/JAGRAN!D11</f>
        <v>9.4491867329171447E-2</v>
      </c>
      <c r="H10" s="23">
        <f>JAGRAN!E8/JAGRAN!E11</f>
        <v>9.3780802628490964E-2</v>
      </c>
      <c r="I10" s="23">
        <f>JAGRAN!F8/JAGRAN!F11</f>
        <v>8.7785529962725789E-2</v>
      </c>
      <c r="J10" s="23">
        <f>DBCORP!C8/DBCORP!C11</f>
        <v>7.7568709199626967E-2</v>
      </c>
      <c r="K10" s="23">
        <f>DBCORP!D8/DBCORP!D11</f>
        <v>7.5549668874172179E-2</v>
      </c>
      <c r="L10" s="23">
        <f>DBCORP!E8/DBCORP!E11</f>
        <v>8.6954286008124645E-2</v>
      </c>
      <c r="M10" s="23">
        <f>DBCORP!F8/DBCORP!F11</f>
        <v>0.1912703407354131</v>
      </c>
      <c r="O10" s="24" t="s">
        <v>88</v>
      </c>
    </row>
    <row r="11" spans="1:15" ht="60" customHeight="1" x14ac:dyDescent="0.3">
      <c r="A11" s="89" t="s">
        <v>89</v>
      </c>
      <c r="B11" s="26">
        <f>ZEEL!C5/ZEEL!C10</f>
        <v>0.60301746666978706</v>
      </c>
      <c r="C11" s="26">
        <f>ZEEL!D5/ZEEL!D10</f>
        <v>0.62734523701622402</v>
      </c>
      <c r="D11" s="26">
        <f>ZEEL!E5/ZEEL!E10</f>
        <v>0.59494620601239778</v>
      </c>
      <c r="E11" s="26">
        <f>ZEEL!F5/ZEEL!F10</f>
        <v>0.65179892488308289</v>
      </c>
      <c r="F11" s="26">
        <f>JAGRAN!C5/JAGRAN!C10</f>
        <v>0.43145917001338691</v>
      </c>
      <c r="G11" s="26">
        <f>JAGRAN!D5/JAGRAN!D10</f>
        <v>0.50899240920973887</v>
      </c>
      <c r="H11" s="26">
        <f>JAGRAN!E5/JAGRAN!E10</f>
        <v>0.62753980864802728</v>
      </c>
      <c r="I11" s="26">
        <f>JAGRAN!F5/JAGRAN!F10</f>
        <v>0.67834718860710652</v>
      </c>
      <c r="J11" s="26">
        <f>DBCORP!C5/DBCORP!C10</f>
        <v>0.60969305331179313</v>
      </c>
      <c r="K11" s="26">
        <f>DBCORP!D5/DBCORP!D10</f>
        <v>0.69782017422838893</v>
      </c>
      <c r="L11" s="26">
        <f>DBCORP!E5/DBCORP!E10</f>
        <v>0.82670234217465488</v>
      </c>
      <c r="M11" s="26">
        <f>DBCORP!F5/DBCORP!F10</f>
        <v>0.8043572693554315</v>
      </c>
      <c r="O11" s="24" t="s">
        <v>90</v>
      </c>
    </row>
    <row r="12" spans="1:15" x14ac:dyDescent="0.3">
      <c r="A12" s="74"/>
    </row>
    <row r="13" spans="1:15" ht="19.5" customHeight="1" x14ac:dyDescent="0.3">
      <c r="A13" s="111" t="s">
        <v>91</v>
      </c>
      <c r="B13" s="104"/>
      <c r="C13" s="104"/>
      <c r="D13" s="104"/>
      <c r="E13" s="104"/>
      <c r="F13" s="104"/>
      <c r="G13" s="104"/>
      <c r="H13" s="104"/>
      <c r="I13" s="104"/>
      <c r="J13" s="104"/>
      <c r="K13" s="104"/>
      <c r="L13" s="104"/>
      <c r="M13" s="104"/>
      <c r="O13" s="27"/>
    </row>
    <row r="14" spans="1:15" ht="60" customHeight="1" x14ac:dyDescent="0.3">
      <c r="A14" s="88" t="s">
        <v>92</v>
      </c>
      <c r="B14" s="28">
        <f>ZEEL!C12/ZEEL!C11</f>
        <v>4.184965380811078E-2</v>
      </c>
      <c r="C14" s="28">
        <f>ZEEL!D12/ZEEL!D11</f>
        <v>7.0224202039539073E-3</v>
      </c>
      <c r="D14" s="28">
        <f>ZEEL!E12/ZEEL!E11</f>
        <v>2.630130853673323E-2</v>
      </c>
      <c r="E14" s="28">
        <f>ZEEL!F12/ZEEL!F11</f>
        <v>1.6643219037635746E-2</v>
      </c>
      <c r="F14" s="28">
        <f>JAGRAN!C12/JAGRAN!C11</f>
        <v>1.8597932559924164E-2</v>
      </c>
      <c r="G14" s="28">
        <f>JAGRAN!D12/JAGRAN!D11</f>
        <v>2.314519896377458E-2</v>
      </c>
      <c r="H14" s="28">
        <f>JAGRAN!E12/JAGRAN!E11</f>
        <v>9.3358366580614888E-2</v>
      </c>
      <c r="I14" s="28">
        <f>JAGRAN!F12/JAGRAN!F11</f>
        <v>4.1097199655930422E-2</v>
      </c>
      <c r="J14" s="28">
        <f>DBCORP!C12/DBCORP!C11</f>
        <v>3.0884853804377638E-2</v>
      </c>
      <c r="K14" s="28">
        <f>DBCORP!D12/DBCORP!D11</f>
        <v>1.1973509933774835E-2</v>
      </c>
      <c r="L14" s="28">
        <f>DBCORP!E12/DBCORP!E11</f>
        <v>1.6712089268267599E-2</v>
      </c>
      <c r="M14" s="28">
        <f>DBCORP!F12/DBCORP!F11</f>
        <v>1.0114177829722197E-2</v>
      </c>
      <c r="O14" s="24" t="s">
        <v>93</v>
      </c>
    </row>
    <row r="15" spans="1:15" ht="60" customHeight="1" x14ac:dyDescent="0.3">
      <c r="A15" s="89" t="s">
        <v>94</v>
      </c>
      <c r="B15" s="29">
        <f>ZEEL!C12/ZEEL!C10</f>
        <v>3.3006467114449982E-2</v>
      </c>
      <c r="C15" s="29">
        <f>ZEEL!D12/ZEEL!D10</f>
        <v>5.7630139883380156E-3</v>
      </c>
      <c r="D15" s="29">
        <f>ZEEL!E12/ZEEL!E10</f>
        <v>2.0541509145342106E-2</v>
      </c>
      <c r="E15" s="29">
        <f>ZEEL!F12/ZEEL!F10</f>
        <v>1.3457549239016483E-2</v>
      </c>
      <c r="F15" s="29">
        <f>JAGRAN!C12/JAGRAN!C10</f>
        <v>1.3788487282463187E-2</v>
      </c>
      <c r="G15" s="29">
        <f>JAGRAN!D12/JAGRAN!D10</f>
        <v>1.7165894988818545E-2</v>
      </c>
      <c r="H15" s="29">
        <f>JAGRAN!E12/JAGRAN!E10</f>
        <v>6.7243652591365499E-2</v>
      </c>
      <c r="I15" s="29">
        <f>JAGRAN!F12/JAGRAN!F10</f>
        <v>3.0165912518853696E-2</v>
      </c>
      <c r="J15" s="29">
        <f>DBCORP!C12/DBCORP!C10</f>
        <v>2.2738287560581581E-2</v>
      </c>
      <c r="K15" s="29">
        <f>DBCORP!D12/DBCORP!D10</f>
        <v>8.9085103866924208E-3</v>
      </c>
      <c r="L15" s="29">
        <f>DBCORP!E12/DBCORP!E10</f>
        <v>1.2602760974096478E-2</v>
      </c>
      <c r="M15" s="29">
        <f>DBCORP!F12/DBCORP!F10</f>
        <v>7.5182945166571997E-3</v>
      </c>
      <c r="O15" s="24" t="s">
        <v>95</v>
      </c>
    </row>
    <row r="16" spans="1:15" ht="60" customHeight="1" x14ac:dyDescent="0.3">
      <c r="A16" s="88" t="s">
        <v>96</v>
      </c>
      <c r="B16" s="23">
        <f>ZEEL!C11/ZEEL!C10</f>
        <v>0.78869152098106665</v>
      </c>
      <c r="C16" s="23">
        <f>ZEEL!D11/ZEEL!D10</f>
        <v>0.82065923441795829</v>
      </c>
      <c r="D16" s="23">
        <f>ZEEL!E11/ZEEL!E10</f>
        <v>0.78100711668596989</v>
      </c>
      <c r="E16" s="23">
        <f>ZEEL!F11/ZEEL!F10</f>
        <v>0.80859052618274008</v>
      </c>
      <c r="F16" s="23">
        <f>JAGRAN!C11/JAGRAN!C10</f>
        <v>0.74139892904953153</v>
      </c>
      <c r="G16" s="23">
        <f>JAGRAN!D11/JAGRAN!D10</f>
        <v>0.74166115468203719</v>
      </c>
      <c r="H16" s="23">
        <f>JAGRAN!E11/JAGRAN!E10</f>
        <v>0.72027451908448559</v>
      </c>
      <c r="I16" s="23">
        <f>JAGRAN!F11/JAGRAN!F10</f>
        <v>0.73401382019713068</v>
      </c>
      <c r="J16" s="23">
        <f>DBCORP!C11/DBCORP!C10</f>
        <v>0.73622778675282718</v>
      </c>
      <c r="K16" s="23">
        <f>DBCORP!D11/DBCORP!D10</f>
        <v>0.74401829003902398</v>
      </c>
      <c r="L16" s="23">
        <f>DBCORP!E11/DBCORP!E10</f>
        <v>0.7541104389638591</v>
      </c>
      <c r="M16" s="23">
        <f>DBCORP!F11/DBCORP!F10</f>
        <v>0.74334213252247139</v>
      </c>
      <c r="O16" s="24" t="s">
        <v>97</v>
      </c>
    </row>
    <row r="17" spans="1:15" ht="60" customHeight="1" x14ac:dyDescent="0.3">
      <c r="A17" s="89" t="s">
        <v>98</v>
      </c>
      <c r="B17" s="30">
        <f>IFERROR(ZEEL!C6/(ZEEL!C6-ZEEL!C7),"-")</f>
        <v>2.4571196472090051</v>
      </c>
      <c r="C17" s="30">
        <f>IFERROR(ZEEL!D6/(ZEEL!D6-ZEEL!D7),"-")</f>
        <v>9.2927504150525717</v>
      </c>
      <c r="D17" s="30">
        <f>IFERROR(ZEEL!E6/(ZEEL!E6-ZEEL!E7),"-")</f>
        <v>2.1702500000000002</v>
      </c>
      <c r="E17" s="30">
        <f>IFERROR(ZEEL!F6/(ZEEL!F6-ZEEL!F7),"-")</f>
        <v>2.1004909038406008</v>
      </c>
      <c r="F17" s="30">
        <f>IFERROR(JAGRAN!C6/(JAGRAN!C6-JAGRAN!C7),"-")</f>
        <v>-13.105263157894722</v>
      </c>
      <c r="G17" s="30">
        <f>IFERROR(JAGRAN!D6/(JAGRAN!D6-JAGRAN!D7),"-")</f>
        <v>-5.8661800486618008</v>
      </c>
      <c r="H17" s="30">
        <f>IFERROR(JAGRAN!E6/(JAGRAN!E6-JAGRAN!E7),"-")</f>
        <v>-6.6960486322188499</v>
      </c>
      <c r="I17" s="30">
        <f>IFERROR(JAGRAN!F6/(JAGRAN!F6-JAGRAN!F7),"-")</f>
        <v>7.5946745562130209</v>
      </c>
      <c r="J17" s="30">
        <f>IFERROR(DBCORP!C6/(DBCORP!C6-DBCORP!C7),"-")</f>
        <v>-482.0000000000274</v>
      </c>
      <c r="K17" s="30">
        <f>IFERROR(DBCORP!D6/(DBCORP!D6-DBCORP!D7),"-")</f>
        <v>26.285714285714228</v>
      </c>
      <c r="L17" s="30">
        <f>IFERROR(DBCORP!E6/(DBCORP!E6-DBCORP!E7),"-")</f>
        <v>-74.966666666666669</v>
      </c>
      <c r="M17" s="30">
        <f>IFERROR(DBCORP!F6/(DBCORP!F6-DBCORP!F7),"-")</f>
        <v>-12.659420289855079</v>
      </c>
      <c r="O17" s="24" t="s">
        <v>99</v>
      </c>
    </row>
    <row r="18" spans="1:15" ht="60" customHeight="1" x14ac:dyDescent="0.3">
      <c r="A18" s="88" t="s">
        <v>100</v>
      </c>
      <c r="B18" s="28">
        <f>ZEEL!C12/ZEEL!C5</f>
        <v>5.4735507574483505E-2</v>
      </c>
      <c r="C18" s="28">
        <f>ZEEL!D12/ZEEL!D5</f>
        <v>9.1863517060367453E-3</v>
      </c>
      <c r="D18" s="28">
        <f>ZEEL!E12/ZEEL!E5</f>
        <v>3.4526666340173366E-2</v>
      </c>
      <c r="E18" s="28">
        <f>ZEEL!F12/ZEEL!F5</f>
        <v>2.0646780357041008E-2</v>
      </c>
      <c r="F18" s="28">
        <f>JAGRAN!C12/JAGRAN!C5</f>
        <v>3.195780328886131E-2</v>
      </c>
      <c r="G18" s="28">
        <f>JAGRAN!D12/JAGRAN!D5</f>
        <v>3.3725247524752477E-2</v>
      </c>
      <c r="H18" s="28">
        <f>JAGRAN!E12/JAGRAN!E5</f>
        <v>0.10715440146535933</v>
      </c>
      <c r="I18" s="28">
        <f>JAGRAN!F12/JAGRAN!F5</f>
        <v>4.4469724391126737E-2</v>
      </c>
      <c r="J18" s="28">
        <f>DBCORP!C12/DBCORP!C5</f>
        <v>3.7294647588765238E-2</v>
      </c>
      <c r="K18" s="28">
        <f>DBCORP!D12/DBCORP!D5</f>
        <v>1.2766197819578603E-2</v>
      </c>
      <c r="L18" s="28">
        <f>DBCORP!E12/DBCORP!E5</f>
        <v>1.5244617477367606E-2</v>
      </c>
      <c r="M18" s="28">
        <f>DBCORP!F12/DBCORP!F5</f>
        <v>9.3469591226321043E-3</v>
      </c>
      <c r="O18" s="24" t="s">
        <v>101</v>
      </c>
    </row>
    <row r="19" spans="1:15" x14ac:dyDescent="0.3">
      <c r="A19" s="74"/>
    </row>
    <row r="20" spans="1:15" ht="19.5" customHeight="1" x14ac:dyDescent="0.3">
      <c r="A20" s="123" t="s">
        <v>102</v>
      </c>
      <c r="B20" s="104"/>
      <c r="C20" s="104"/>
      <c r="D20" s="104"/>
      <c r="E20" s="104"/>
      <c r="F20" s="104"/>
      <c r="G20" s="104"/>
      <c r="H20" s="104"/>
      <c r="I20" s="104"/>
      <c r="J20" s="104"/>
      <c r="K20" s="104"/>
      <c r="L20" s="104"/>
      <c r="M20" s="104"/>
      <c r="O20" s="31"/>
    </row>
    <row r="21" spans="1:15" ht="60" customHeight="1" x14ac:dyDescent="0.3">
      <c r="A21" s="88" t="s">
        <v>103</v>
      </c>
      <c r="B21" s="32">
        <f>ZEEL!C5/ZEEL!C10</f>
        <v>0.60301746666978706</v>
      </c>
      <c r="C21" s="32">
        <f>ZEEL!D5/ZEEL!D10</f>
        <v>0.62734523701622402</v>
      </c>
      <c r="D21" s="32">
        <f>ZEEL!E5/ZEEL!E10</f>
        <v>0.59494620601239778</v>
      </c>
      <c r="E21" s="32">
        <f>ZEEL!F5/ZEEL!F10</f>
        <v>0.65179892488308289</v>
      </c>
      <c r="F21" s="32">
        <f>JAGRAN!C5/JAGRAN!C10</f>
        <v>0.43145917001338691</v>
      </c>
      <c r="G21" s="32">
        <f>JAGRAN!D5/JAGRAN!D10</f>
        <v>0.50899240920973887</v>
      </c>
      <c r="H21" s="32">
        <f>JAGRAN!E5/JAGRAN!E10</f>
        <v>0.62753980864802728</v>
      </c>
      <c r="I21" s="32">
        <f>JAGRAN!F5/JAGRAN!F10</f>
        <v>0.67834718860710652</v>
      </c>
      <c r="J21" s="32">
        <f>DBCORP!C5/DBCORP!C10</f>
        <v>0.60969305331179313</v>
      </c>
      <c r="K21" s="32">
        <f>DBCORP!D5/DBCORP!D10</f>
        <v>0.69782017422838893</v>
      </c>
      <c r="L21" s="32">
        <f>DBCORP!E5/DBCORP!E10</f>
        <v>0.82670234217465488</v>
      </c>
      <c r="M21" s="32">
        <f>DBCORP!F5/DBCORP!F10</f>
        <v>0.8043572693554315</v>
      </c>
      <c r="O21" s="24" t="s">
        <v>104</v>
      </c>
    </row>
    <row r="22" spans="1:15" ht="60" customHeight="1" x14ac:dyDescent="0.3">
      <c r="A22" s="89" t="s">
        <v>105</v>
      </c>
      <c r="B22" s="26">
        <f>ZEEL!C10/ZEEL!C11</f>
        <v>1.2679228486646885</v>
      </c>
      <c r="C22" s="26">
        <f>ZEEL!D10/ZEEL!D11</f>
        <v>1.218532562677171</v>
      </c>
      <c r="D22" s="26">
        <f>ZEEL!E10/ZEEL!E11</f>
        <v>1.2803980637760097</v>
      </c>
      <c r="E22" s="26">
        <f>ZEEL!F10/ZEEL!F11</f>
        <v>1.23671990657729</v>
      </c>
      <c r="F22" s="26">
        <f>JAGRAN!C10/JAGRAN!C11</f>
        <v>1.348801516724597</v>
      </c>
      <c r="G22" s="26">
        <f>JAGRAN!D10/JAGRAN!D11</f>
        <v>1.3483246273410627</v>
      </c>
      <c r="H22" s="26">
        <f>JAGRAN!E10/JAGRAN!E11</f>
        <v>1.3883595400140814</v>
      </c>
      <c r="I22" s="26">
        <f>JAGRAN!F10/JAGRAN!F11</f>
        <v>1.3623721685940935</v>
      </c>
      <c r="J22" s="26">
        <f>DBCORP!C10/DBCORP!C11</f>
        <v>1.3582752756596632</v>
      </c>
      <c r="K22" s="26">
        <f>DBCORP!D10/DBCORP!D11</f>
        <v>1.3440529801324503</v>
      </c>
      <c r="L22" s="26">
        <f>DBCORP!E10/DBCORP!E11</f>
        <v>1.3260657170771841</v>
      </c>
      <c r="M22" s="26">
        <f>DBCORP!F10/DBCORP!F11</f>
        <v>1.345275555155983</v>
      </c>
      <c r="O22" s="24" t="s">
        <v>106</v>
      </c>
    </row>
    <row r="23" spans="1:15" x14ac:dyDescent="0.3">
      <c r="A23" s="74"/>
    </row>
    <row r="24" spans="1:15" ht="19.5" customHeight="1" x14ac:dyDescent="0.3">
      <c r="A24" s="124" t="s">
        <v>107</v>
      </c>
      <c r="B24" s="104"/>
      <c r="C24" s="104"/>
      <c r="D24" s="104"/>
      <c r="E24" s="104"/>
      <c r="F24" s="104"/>
      <c r="G24" s="104"/>
      <c r="H24" s="104"/>
      <c r="I24" s="104"/>
      <c r="J24" s="104"/>
      <c r="K24" s="104"/>
      <c r="L24" s="104"/>
      <c r="M24" s="104"/>
      <c r="O24" s="33"/>
    </row>
    <row r="25" spans="1:15" ht="60" customHeight="1" x14ac:dyDescent="0.3">
      <c r="A25" s="88" t="s">
        <v>108</v>
      </c>
      <c r="B25" s="34" t="s">
        <v>45</v>
      </c>
      <c r="C25" s="23">
        <f>(ZEEL!D5-ZEEL!C5)/ZEEL!C5</f>
        <v>7.4502904306653336E-2</v>
      </c>
      <c r="D25" s="23">
        <f>(ZEEL!E5-ZEEL!D5)/ZEEL!D5</f>
        <v>-1.6638975173974682E-2</v>
      </c>
      <c r="E25" s="23">
        <f>(ZEEL!F5-ZEEL!E5)/ZEEL!E5</f>
        <v>7.3326313727410691E-2</v>
      </c>
      <c r="F25" s="34" t="s">
        <v>45</v>
      </c>
      <c r="G25" s="23">
        <f>(JAGRAN!D5-JAGRAN!C5)/JAGRAN!C5</f>
        <v>0.25349053676698724</v>
      </c>
      <c r="H25" s="23">
        <f>(JAGRAN!E5-JAGRAN!D5)/JAGRAN!D5</f>
        <v>0.14863861386138616</v>
      </c>
      <c r="I25" s="23">
        <f>(JAGRAN!F5-JAGRAN!E5)/JAGRAN!E5</f>
        <v>4.1859713392953371E-2</v>
      </c>
      <c r="J25" s="34" t="s">
        <v>45</v>
      </c>
      <c r="K25" s="23">
        <f>(DBCORP!D5-DBCORP!C5)/DBCORP!C5</f>
        <v>0.17269475357710656</v>
      </c>
      <c r="L25" s="23">
        <f>(DBCORP!E5-DBCORP!D5)/DBCORP!D5</f>
        <v>0.20425916511325773</v>
      </c>
      <c r="M25" s="23">
        <f>(DBCORP!F5-DBCORP!E5)/DBCORP!E5</f>
        <v>0.12913363666213223</v>
      </c>
      <c r="O25" s="24" t="s">
        <v>109</v>
      </c>
    </row>
    <row r="26" spans="1:15" ht="60" customHeight="1" x14ac:dyDescent="0.3">
      <c r="A26" s="89" t="s">
        <v>110</v>
      </c>
      <c r="B26" s="35" t="s">
        <v>45</v>
      </c>
      <c r="C26" s="25">
        <f>(ZEEL!D8-ZEEL!C8)/ABS(ZEEL!C8)</f>
        <v>0.20559930008748906</v>
      </c>
      <c r="D26" s="25">
        <f>(ZEEL!E8-ZEEL!D8)/ABS(ZEEL!D8)</f>
        <v>-0.95044578063445995</v>
      </c>
      <c r="E26" s="25">
        <f>(ZEEL!F8-ZEEL!E8)/ABS(ZEEL!E8)</f>
        <v>1.9581589958158998</v>
      </c>
      <c r="F26" s="35" t="s">
        <v>45</v>
      </c>
      <c r="G26" s="25">
        <f>(JAGRAN!D8-JAGRAN!C8)/ABS(JAGRAN!C8)</f>
        <v>1.5028121484814396</v>
      </c>
      <c r="H26" s="25">
        <f>(JAGRAN!E8-JAGRAN!D8)/ABS(JAGRAN!D8)</f>
        <v>-0.10202247191011231</v>
      </c>
      <c r="I26" s="25">
        <f>(JAGRAN!F8-JAGRAN!E8)/ABS(JAGRAN!E8)</f>
        <v>-8.0580580580580694E-2</v>
      </c>
      <c r="J26" s="35" t="s">
        <v>45</v>
      </c>
      <c r="K26" s="25">
        <f>(DBCORP!D8-DBCORP!C8)/ABS(DBCORP!C8)</f>
        <v>8.4865629420084066E-3</v>
      </c>
      <c r="L26" s="25">
        <f>(DBCORP!E8-DBCORP!D8)/ABS(DBCORP!D8)</f>
        <v>0.18583450210378682</v>
      </c>
      <c r="M26" s="25">
        <f>(DBCORP!F8-DBCORP!E8)/ABS(DBCORP!E8)</f>
        <v>1.5162625665286811</v>
      </c>
      <c r="O26" s="24" t="s">
        <v>111</v>
      </c>
    </row>
    <row r="27" spans="1:15" ht="60" customHeight="1" x14ac:dyDescent="0.3">
      <c r="A27" s="88" t="s">
        <v>112</v>
      </c>
      <c r="B27" s="34" t="s">
        <v>45</v>
      </c>
      <c r="C27" s="23">
        <f>(ZEEL!D6-ZEEL!C6)/ABS(ZEEL!C6)</f>
        <v>-0.20691446653757148</v>
      </c>
      <c r="D27" s="23">
        <f>(ZEEL!E6-ZEEL!D6)/ABS(ZEEL!D6)</f>
        <v>-0.4830276322058123</v>
      </c>
      <c r="E27" s="23">
        <f>(ZEEL!F6-ZEEL!E6)/ABS(ZEEL!E6)</f>
        <v>-0.16207810160119807</v>
      </c>
      <c r="F27" s="34" t="s">
        <v>45</v>
      </c>
      <c r="G27" s="23">
        <f>(JAGRAN!D6-JAGRAN!C6)/ABS(JAGRAN!C6)</f>
        <v>1.4206827309236949</v>
      </c>
      <c r="H27" s="23">
        <f>(JAGRAN!E6-JAGRAN!D6)/ABS(JAGRAN!D6)</f>
        <v>-8.6271256739941862E-2</v>
      </c>
      <c r="I27" s="23">
        <f>(JAGRAN!F6-JAGRAN!E6)/ABS(JAGRAN!E6)</f>
        <v>0.16522923286427588</v>
      </c>
      <c r="J27" s="34" t="s">
        <v>45</v>
      </c>
      <c r="K27" s="23">
        <f>(DBCORP!D6-DBCORP!C6)/ABS(DBCORP!C6)</f>
        <v>4.9792531120331919E-2</v>
      </c>
      <c r="L27" s="23">
        <f>(DBCORP!E6-DBCORP!D6)/ABS(DBCORP!D6)</f>
        <v>0.11116600790513834</v>
      </c>
      <c r="M27" s="23">
        <f>(DBCORP!F6-DBCORP!E6)/ABS(DBCORP!E6)</f>
        <v>1.3303690529124057</v>
      </c>
      <c r="O27" s="24" t="s">
        <v>113</v>
      </c>
    </row>
  </sheetData>
  <mergeCells count="9">
    <mergeCell ref="A1:O1"/>
    <mergeCell ref="B3:E3"/>
    <mergeCell ref="A20:M20"/>
    <mergeCell ref="A24:M24"/>
    <mergeCell ref="A13:M13"/>
    <mergeCell ref="A2:O2"/>
    <mergeCell ref="A5:M5"/>
    <mergeCell ref="F3:I3"/>
    <mergeCell ref="J3:M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B2A4A"/>
  </sheetPr>
  <dimension ref="A1:H19"/>
  <sheetViews>
    <sheetView showGridLines="0" zoomScaleNormal="100" workbookViewId="0">
      <selection sqref="A1:H1"/>
    </sheetView>
  </sheetViews>
  <sheetFormatPr defaultColWidth="8.6640625" defaultRowHeight="14.4" x14ac:dyDescent="0.3"/>
  <cols>
    <col min="1" max="1" width="30" customWidth="1"/>
    <col min="2" max="5" width="14" customWidth="1"/>
    <col min="6" max="6" width="18" customWidth="1"/>
    <col min="7" max="7" width="2" customWidth="1"/>
    <col min="8" max="8" width="52" customWidth="1"/>
  </cols>
  <sheetData>
    <row r="1" spans="1:8" ht="27.75" customHeight="1" x14ac:dyDescent="0.3">
      <c r="A1" s="114" t="s">
        <v>114</v>
      </c>
      <c r="B1" s="104"/>
      <c r="C1" s="104"/>
      <c r="D1" s="104"/>
      <c r="E1" s="104"/>
      <c r="F1" s="104"/>
      <c r="G1" s="104"/>
      <c r="H1" s="104"/>
    </row>
    <row r="2" spans="1:8" ht="15.75" customHeight="1" x14ac:dyDescent="0.3">
      <c r="A2" s="115" t="s">
        <v>115</v>
      </c>
      <c r="B2" s="104"/>
      <c r="C2" s="104"/>
      <c r="D2" s="104"/>
      <c r="E2" s="104"/>
      <c r="F2" s="104"/>
      <c r="G2" s="104"/>
      <c r="H2" s="104"/>
    </row>
    <row r="3" spans="1:8" ht="19.5" customHeight="1" x14ac:dyDescent="0.3">
      <c r="A3" s="126" t="s">
        <v>116</v>
      </c>
      <c r="B3" s="104"/>
      <c r="C3" s="104"/>
      <c r="D3" s="104"/>
      <c r="E3" s="104"/>
      <c r="F3" s="104"/>
      <c r="G3" s="104"/>
      <c r="H3" s="104"/>
    </row>
    <row r="4" spans="1:8" ht="18" customHeight="1" x14ac:dyDescent="0.3">
      <c r="A4" s="125" t="s">
        <v>117</v>
      </c>
      <c r="B4" s="104"/>
      <c r="C4" s="104"/>
      <c r="D4" s="104"/>
      <c r="E4" s="104"/>
      <c r="F4" s="104"/>
      <c r="G4" s="104"/>
      <c r="H4" s="104"/>
    </row>
    <row r="5" spans="1:8" ht="19.5" customHeight="1" x14ac:dyDescent="0.3">
      <c r="A5" s="78" t="s">
        <v>118</v>
      </c>
      <c r="B5" s="4" t="s">
        <v>38</v>
      </c>
      <c r="C5" s="4" t="s">
        <v>39</v>
      </c>
      <c r="D5" s="4" t="s">
        <v>40</v>
      </c>
      <c r="E5" s="4" t="s">
        <v>41</v>
      </c>
      <c r="F5" s="4" t="s">
        <v>119</v>
      </c>
      <c r="G5" s="4"/>
      <c r="H5" s="4" t="s">
        <v>120</v>
      </c>
    </row>
    <row r="6" spans="1:8" ht="57.75" customHeight="1" x14ac:dyDescent="0.3">
      <c r="A6" s="88" t="s">
        <v>121</v>
      </c>
      <c r="B6" s="36">
        <f>ZEEL!C8/ZEEL!C7</f>
        <v>0.63722523096527561</v>
      </c>
      <c r="C6" s="36">
        <f>ZEEL!D8/ZEEL!D7</f>
        <v>0.64371037704371037</v>
      </c>
      <c r="D6" s="36">
        <f>ZEEL!E8/ZEEL!E7</f>
        <v>0.10211493270668659</v>
      </c>
      <c r="E6" s="36">
        <f>ZEEL!F8/ZEEL!F7</f>
        <v>0.37103122540015743</v>
      </c>
      <c r="F6" s="37">
        <f t="shared" ref="F6:F11" si="0">(E6-B6)/ABS(B6)</f>
        <v>-0.41773927432516234</v>
      </c>
      <c r="G6" s="38"/>
      <c r="H6" s="39" t="s">
        <v>122</v>
      </c>
    </row>
    <row r="7" spans="1:8" ht="57.75" customHeight="1" x14ac:dyDescent="0.3">
      <c r="A7" s="89" t="s">
        <v>123</v>
      </c>
      <c r="B7" s="40">
        <f>ZEEL!C7/ZEEL!C6</f>
        <v>0.59301941151466486</v>
      </c>
      <c r="C7" s="40">
        <f>ZEEL!D7/ZEEL!D6</f>
        <v>0.89238923296808004</v>
      </c>
      <c r="D7" s="40">
        <f>ZEEL!E7/ZEEL!E6</f>
        <v>0.53922359175210233</v>
      </c>
      <c r="E7" s="40">
        <f>ZEEL!F7/ZEEL!F6</f>
        <v>0.52392081385757494</v>
      </c>
      <c r="F7" s="37">
        <f t="shared" si="0"/>
        <v>-0.11651995923809852</v>
      </c>
      <c r="G7" s="38"/>
      <c r="H7" s="39" t="s">
        <v>124</v>
      </c>
    </row>
    <row r="8" spans="1:8" ht="57.75" customHeight="1" x14ac:dyDescent="0.3">
      <c r="A8" s="90" t="s">
        <v>125</v>
      </c>
      <c r="B8" s="41">
        <f>ZEEL!C6/ZEEL!C5</f>
        <v>0.27391039987580695</v>
      </c>
      <c r="C8" s="41">
        <f>ZEEL!D6/ZEEL!D5</f>
        <v>0.20217197620939586</v>
      </c>
      <c r="D8" s="41">
        <f>ZEEL!E6/ZEEL!E5</f>
        <v>0.1062858122337039</v>
      </c>
      <c r="E8" s="41">
        <f>ZEEL!F6/ZEEL!F5</f>
        <v>8.2974961501169217E-2</v>
      </c>
      <c r="F8" s="37">
        <f t="shared" si="0"/>
        <v>-0.69707261374963969</v>
      </c>
      <c r="G8" s="38"/>
      <c r="H8" s="39" t="s">
        <v>126</v>
      </c>
    </row>
    <row r="9" spans="1:8" ht="57.75" customHeight="1" x14ac:dyDescent="0.3">
      <c r="A9" s="88" t="s">
        <v>127</v>
      </c>
      <c r="B9" s="32">
        <f>ZEEL!C5/ZEEL!C10</f>
        <v>0.60301746666978706</v>
      </c>
      <c r="C9" s="32">
        <f>ZEEL!D5/ZEEL!D10</f>
        <v>0.62734523701622402</v>
      </c>
      <c r="D9" s="32">
        <f>ZEEL!E5/ZEEL!E10</f>
        <v>0.59494620601239778</v>
      </c>
      <c r="E9" s="32">
        <f>ZEEL!F5/ZEEL!F10</f>
        <v>0.65179892488308289</v>
      </c>
      <c r="F9" s="37">
        <f t="shared" si="0"/>
        <v>8.0895597407311254E-2</v>
      </c>
      <c r="G9" s="38"/>
      <c r="H9" s="39" t="s">
        <v>128</v>
      </c>
    </row>
    <row r="10" spans="1:8" ht="57.75" customHeight="1" x14ac:dyDescent="0.3">
      <c r="A10" s="89" t="s">
        <v>129</v>
      </c>
      <c r="B10" s="26">
        <f>ZEEL!C10/ZEEL!C11</f>
        <v>1.2679228486646885</v>
      </c>
      <c r="C10" s="26">
        <f>ZEEL!D10/ZEEL!D11</f>
        <v>1.218532562677171</v>
      </c>
      <c r="D10" s="26">
        <f>ZEEL!E10/ZEEL!E11</f>
        <v>1.2803980637760097</v>
      </c>
      <c r="E10" s="26">
        <f>ZEEL!F10/ZEEL!F11</f>
        <v>1.23671990657729</v>
      </c>
      <c r="F10" s="37">
        <f t="shared" si="0"/>
        <v>-2.4609495853994454E-2</v>
      </c>
      <c r="G10" s="38"/>
      <c r="H10" s="39" t="s">
        <v>130</v>
      </c>
    </row>
    <row r="11" spans="1:8" ht="72" customHeight="1" x14ac:dyDescent="0.3">
      <c r="A11" s="85" t="s">
        <v>131</v>
      </c>
      <c r="B11" s="42">
        <f>B6*B7*B8*B9*B10</f>
        <v>7.9139465875370921E-2</v>
      </c>
      <c r="C11" s="42">
        <f>C6*C7*C8*C9*C10</f>
        <v>8.8778853587600778E-2</v>
      </c>
      <c r="D11" s="42">
        <f>D6*D7*D8*D9*D10</f>
        <v>4.45816506402783E-3</v>
      </c>
      <c r="E11" s="42">
        <f>E6*E7*E8*E9*E10</f>
        <v>1.3001940176362954E-2</v>
      </c>
      <c r="F11" s="42">
        <f t="shared" si="0"/>
        <v>-0.83570851745653107</v>
      </c>
      <c r="H11" s="43" t="s">
        <v>132</v>
      </c>
    </row>
    <row r="12" spans="1:8" x14ac:dyDescent="0.3">
      <c r="A12" s="74"/>
    </row>
    <row r="13" spans="1:8" ht="19.5" customHeight="1" x14ac:dyDescent="0.3">
      <c r="A13" s="111" t="s">
        <v>133</v>
      </c>
      <c r="B13" s="104"/>
      <c r="C13" s="104"/>
      <c r="D13" s="104"/>
      <c r="E13" s="104"/>
      <c r="F13" s="104"/>
      <c r="G13" s="104"/>
      <c r="H13" s="104"/>
    </row>
    <row r="14" spans="1:8" ht="18" customHeight="1" x14ac:dyDescent="0.3">
      <c r="A14" s="91" t="s">
        <v>134</v>
      </c>
      <c r="B14" s="44" t="s">
        <v>135</v>
      </c>
      <c r="C14" s="44"/>
      <c r="D14" s="131" t="s">
        <v>136</v>
      </c>
      <c r="E14" s="128"/>
      <c r="F14" s="128"/>
      <c r="G14" s="128"/>
      <c r="H14" s="132"/>
    </row>
    <row r="15" spans="1:8" ht="30" customHeight="1" x14ac:dyDescent="0.3">
      <c r="A15" s="92" t="s">
        <v>79</v>
      </c>
      <c r="B15" s="45" t="s">
        <v>137</v>
      </c>
      <c r="C15" s="46"/>
      <c r="D15" s="127" t="s">
        <v>138</v>
      </c>
      <c r="E15" s="128"/>
      <c r="F15" s="128"/>
      <c r="G15" s="128"/>
      <c r="H15" s="128"/>
    </row>
    <row r="16" spans="1:8" ht="30" customHeight="1" x14ac:dyDescent="0.3">
      <c r="A16" s="93" t="s">
        <v>139</v>
      </c>
      <c r="B16" s="47" t="s">
        <v>140</v>
      </c>
      <c r="C16" s="48"/>
      <c r="D16" s="129" t="s">
        <v>141</v>
      </c>
      <c r="E16" s="128"/>
      <c r="F16" s="128"/>
      <c r="G16" s="128"/>
      <c r="H16" s="128"/>
    </row>
    <row r="17" spans="1:8" ht="30" customHeight="1" x14ac:dyDescent="0.3">
      <c r="A17" s="93" t="s">
        <v>142</v>
      </c>
      <c r="B17" s="47" t="s">
        <v>140</v>
      </c>
      <c r="C17" s="48"/>
      <c r="D17" s="129" t="s">
        <v>143</v>
      </c>
      <c r="E17" s="128"/>
      <c r="F17" s="128"/>
      <c r="G17" s="128"/>
      <c r="H17" s="128"/>
    </row>
    <row r="18" spans="1:8" ht="30" customHeight="1" x14ac:dyDescent="0.3">
      <c r="A18" s="94" t="s">
        <v>89</v>
      </c>
      <c r="B18" s="49" t="s">
        <v>144</v>
      </c>
      <c r="C18" s="50"/>
      <c r="D18" s="133" t="s">
        <v>145</v>
      </c>
      <c r="E18" s="128"/>
      <c r="F18" s="128"/>
      <c r="G18" s="128"/>
      <c r="H18" s="128"/>
    </row>
    <row r="19" spans="1:8" ht="30" customHeight="1" x14ac:dyDescent="0.3">
      <c r="A19" s="95" t="s">
        <v>105</v>
      </c>
      <c r="B19" s="51" t="s">
        <v>146</v>
      </c>
      <c r="C19" s="52"/>
      <c r="D19" s="130" t="s">
        <v>147</v>
      </c>
      <c r="E19" s="128"/>
      <c r="F19" s="128"/>
      <c r="G19" s="128"/>
      <c r="H19" s="128"/>
    </row>
  </sheetData>
  <mergeCells count="11">
    <mergeCell ref="D19:H19"/>
    <mergeCell ref="A13:H13"/>
    <mergeCell ref="D14:H14"/>
    <mergeCell ref="A1:H1"/>
    <mergeCell ref="D18:H18"/>
    <mergeCell ref="D17:H17"/>
    <mergeCell ref="A4:H4"/>
    <mergeCell ref="A3:H3"/>
    <mergeCell ref="D15:H15"/>
    <mergeCell ref="D16:H16"/>
    <mergeCell ref="A2:H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D32"/>
  </sheetPr>
  <dimension ref="A1:H19"/>
  <sheetViews>
    <sheetView showGridLines="0" zoomScaleNormal="100" workbookViewId="0">
      <selection sqref="A1:H1"/>
    </sheetView>
  </sheetViews>
  <sheetFormatPr defaultColWidth="8.6640625" defaultRowHeight="14.4" x14ac:dyDescent="0.3"/>
  <cols>
    <col min="1" max="1" width="30" customWidth="1"/>
    <col min="2" max="5" width="14" customWidth="1"/>
    <col min="6" max="6" width="18" customWidth="1"/>
    <col min="7" max="7" width="2" customWidth="1"/>
    <col min="8" max="8" width="52" customWidth="1"/>
  </cols>
  <sheetData>
    <row r="1" spans="1:8" ht="27.75" customHeight="1" x14ac:dyDescent="0.3">
      <c r="A1" s="117" t="s">
        <v>148</v>
      </c>
      <c r="B1" s="104"/>
      <c r="C1" s="104"/>
      <c r="D1" s="104"/>
      <c r="E1" s="104"/>
      <c r="F1" s="104"/>
      <c r="G1" s="104"/>
      <c r="H1" s="104"/>
    </row>
    <row r="2" spans="1:8" ht="15.75" customHeight="1" x14ac:dyDescent="0.3">
      <c r="A2" s="115" t="s">
        <v>115</v>
      </c>
      <c r="B2" s="104"/>
      <c r="C2" s="104"/>
      <c r="D2" s="104"/>
      <c r="E2" s="104"/>
      <c r="F2" s="104"/>
      <c r="G2" s="104"/>
      <c r="H2" s="104"/>
    </row>
    <row r="3" spans="1:8" ht="19.5" customHeight="1" x14ac:dyDescent="0.3">
      <c r="A3" s="126" t="s">
        <v>116</v>
      </c>
      <c r="B3" s="104"/>
      <c r="C3" s="104"/>
      <c r="D3" s="104"/>
      <c r="E3" s="104"/>
      <c r="F3" s="104"/>
      <c r="G3" s="104"/>
      <c r="H3" s="104"/>
    </row>
    <row r="4" spans="1:8" ht="18" customHeight="1" x14ac:dyDescent="0.3">
      <c r="A4" s="125" t="s">
        <v>117</v>
      </c>
      <c r="B4" s="104"/>
      <c r="C4" s="104"/>
      <c r="D4" s="104"/>
      <c r="E4" s="104"/>
      <c r="F4" s="104"/>
      <c r="G4" s="104"/>
      <c r="H4" s="104"/>
    </row>
    <row r="5" spans="1:8" ht="19.5" customHeight="1" x14ac:dyDescent="0.3">
      <c r="A5" s="83" t="s">
        <v>118</v>
      </c>
      <c r="B5" s="15" t="s">
        <v>38</v>
      </c>
      <c r="C5" s="15" t="s">
        <v>39</v>
      </c>
      <c r="D5" s="15" t="s">
        <v>40</v>
      </c>
      <c r="E5" s="15" t="s">
        <v>41</v>
      </c>
      <c r="F5" s="15" t="s">
        <v>119</v>
      </c>
      <c r="G5" s="15"/>
      <c r="H5" s="15" t="s">
        <v>120</v>
      </c>
    </row>
    <row r="6" spans="1:8" ht="57.75" customHeight="1" x14ac:dyDescent="0.3">
      <c r="A6" s="88" t="s">
        <v>121</v>
      </c>
      <c r="B6" s="36">
        <f>JAGRAN!C8/JAGRAN!C7</f>
        <v>0.82929104477611948</v>
      </c>
      <c r="C6" s="36">
        <f>JAGRAN!D8/JAGRAN!D7</f>
        <v>0.78844790928419561</v>
      </c>
      <c r="D6" s="36">
        <f>JAGRAN!E8/JAGRAN!E7</f>
        <v>0.78909952606635081</v>
      </c>
      <c r="E6" s="36">
        <f>JAGRAN!F8/JAGRAN!F7</f>
        <v>0.82413638402871237</v>
      </c>
      <c r="F6" s="37">
        <f t="shared" ref="F6:F11" si="0">(E6-B6)/ABS(B6)</f>
        <v>-6.2157438933863052E-3</v>
      </c>
      <c r="G6" s="38"/>
      <c r="H6" s="39" t="s">
        <v>149</v>
      </c>
    </row>
    <row r="7" spans="1:8" ht="57.75" customHeight="1" x14ac:dyDescent="0.3">
      <c r="A7" s="89" t="s">
        <v>123</v>
      </c>
      <c r="B7" s="40">
        <f>JAGRAN!C7/JAGRAN!C6</f>
        <v>1.0763052208835342</v>
      </c>
      <c r="C7" s="40">
        <f>JAGRAN!D7/JAGRAN!D6</f>
        <v>1.1704686851928661</v>
      </c>
      <c r="D7" s="40">
        <f>JAGRAN!E7/JAGRAN!E6</f>
        <v>1.1493418066273262</v>
      </c>
      <c r="E7" s="40">
        <f>JAGRAN!F7/JAGRAN!F6</f>
        <v>0.86832878846903006</v>
      </c>
      <c r="F7" s="37">
        <f t="shared" si="0"/>
        <v>-0.19323183459407287</v>
      </c>
      <c r="G7" s="38"/>
      <c r="H7" s="39" t="s">
        <v>150</v>
      </c>
    </row>
    <row r="8" spans="1:8" ht="57.75" customHeight="1" x14ac:dyDescent="0.3">
      <c r="A8" s="90" t="s">
        <v>125</v>
      </c>
      <c r="B8" s="41">
        <f>JAGRAN!C6/JAGRAN!C5</f>
        <v>7.7257213775985101E-2</v>
      </c>
      <c r="C8" s="41">
        <f>JAGRAN!D6/JAGRAN!D5</f>
        <v>0.14919554455445544</v>
      </c>
      <c r="D8" s="41">
        <f>JAGRAN!E6/JAGRAN!E5</f>
        <v>0.11868333153754984</v>
      </c>
      <c r="E8" s="41">
        <f>JAGRAN!F6/JAGRAN!F5</f>
        <v>0.13273695640932828</v>
      </c>
      <c r="F8" s="37">
        <f t="shared" si="0"/>
        <v>0.71811731127415701</v>
      </c>
      <c r="G8" s="38"/>
      <c r="H8" s="39" t="s">
        <v>151</v>
      </c>
    </row>
    <row r="9" spans="1:8" ht="57.75" customHeight="1" x14ac:dyDescent="0.3">
      <c r="A9" s="88" t="s">
        <v>127</v>
      </c>
      <c r="B9" s="32">
        <f>JAGRAN!C5/JAGRAN!C10</f>
        <v>0.43145917001338691</v>
      </c>
      <c r="C9" s="32">
        <f>JAGRAN!D5/JAGRAN!D10</f>
        <v>0.50899240920973887</v>
      </c>
      <c r="D9" s="32">
        <f>JAGRAN!E5/JAGRAN!E10</f>
        <v>0.62753980864802728</v>
      </c>
      <c r="E9" s="32">
        <f>JAGRAN!F5/JAGRAN!F10</f>
        <v>0.67834718860710652</v>
      </c>
      <c r="F9" s="37">
        <f t="shared" si="0"/>
        <v>0.57221641293673142</v>
      </c>
      <c r="G9" s="38"/>
      <c r="H9" s="39" t="s">
        <v>152</v>
      </c>
    </row>
    <row r="10" spans="1:8" ht="57.75" customHeight="1" x14ac:dyDescent="0.3">
      <c r="A10" s="89" t="s">
        <v>129</v>
      </c>
      <c r="B10" s="26">
        <f>JAGRAN!C10/JAGRAN!C11</f>
        <v>1.348801516724597</v>
      </c>
      <c r="C10" s="26">
        <f>JAGRAN!D10/JAGRAN!D11</f>
        <v>1.3483246273410627</v>
      </c>
      <c r="D10" s="26">
        <f>JAGRAN!E10/JAGRAN!E11</f>
        <v>1.3883595400140814</v>
      </c>
      <c r="E10" s="26">
        <f>JAGRAN!F10/JAGRAN!F11</f>
        <v>1.3623721685940935</v>
      </c>
      <c r="F10" s="37">
        <f t="shared" si="0"/>
        <v>1.0061266762548701E-2</v>
      </c>
      <c r="G10" s="38"/>
      <c r="H10" s="39" t="s">
        <v>153</v>
      </c>
    </row>
    <row r="11" spans="1:8" ht="72" customHeight="1" x14ac:dyDescent="0.3">
      <c r="A11" s="86" t="s">
        <v>131</v>
      </c>
      <c r="B11" s="53">
        <f>B6*B7*B8*B9*B10</f>
        <v>4.0130004965467432E-2</v>
      </c>
      <c r="C11" s="53">
        <f>C6*C7*C8*C9*C10</f>
        <v>9.4491867329171475E-2</v>
      </c>
      <c r="D11" s="53">
        <f>D6*D7*D8*D9*D10</f>
        <v>9.3780802628490978E-2</v>
      </c>
      <c r="E11" s="53">
        <f>E6*E7*E8*E9*E10</f>
        <v>8.7785529962725789E-2</v>
      </c>
      <c r="F11" s="53">
        <f t="shared" si="0"/>
        <v>1.1875285098585651</v>
      </c>
      <c r="H11" s="43" t="s">
        <v>154</v>
      </c>
    </row>
    <row r="12" spans="1:8" x14ac:dyDescent="0.3">
      <c r="A12" s="74"/>
    </row>
    <row r="13" spans="1:8" ht="19.5" customHeight="1" x14ac:dyDescent="0.3">
      <c r="A13" s="111" t="s">
        <v>133</v>
      </c>
      <c r="B13" s="104"/>
      <c r="C13" s="104"/>
      <c r="D13" s="104"/>
      <c r="E13" s="104"/>
      <c r="F13" s="104"/>
      <c r="G13" s="104"/>
      <c r="H13" s="104"/>
    </row>
    <row r="14" spans="1:8" ht="18" customHeight="1" x14ac:dyDescent="0.3">
      <c r="A14" s="91" t="s">
        <v>134</v>
      </c>
      <c r="B14" s="44" t="s">
        <v>135</v>
      </c>
      <c r="C14" s="44"/>
      <c r="D14" s="131" t="s">
        <v>136</v>
      </c>
      <c r="E14" s="128"/>
      <c r="F14" s="128"/>
      <c r="G14" s="128"/>
      <c r="H14" s="132"/>
    </row>
    <row r="15" spans="1:8" ht="30" customHeight="1" x14ac:dyDescent="0.3">
      <c r="A15" s="92" t="s">
        <v>79</v>
      </c>
      <c r="B15" s="45" t="s">
        <v>137</v>
      </c>
      <c r="C15" s="46"/>
      <c r="D15" s="127" t="s">
        <v>155</v>
      </c>
      <c r="E15" s="128"/>
      <c r="F15" s="128"/>
      <c r="G15" s="128"/>
      <c r="H15" s="128"/>
    </row>
    <row r="16" spans="1:8" ht="30" customHeight="1" x14ac:dyDescent="0.3">
      <c r="A16" s="93" t="s">
        <v>89</v>
      </c>
      <c r="B16" s="47" t="s">
        <v>140</v>
      </c>
      <c r="C16" s="48"/>
      <c r="D16" s="129" t="s">
        <v>156</v>
      </c>
      <c r="E16" s="128"/>
      <c r="F16" s="128"/>
      <c r="G16" s="128"/>
      <c r="H16" s="128"/>
    </row>
    <row r="17" spans="1:8" ht="30" customHeight="1" x14ac:dyDescent="0.3">
      <c r="A17" s="94" t="s">
        <v>142</v>
      </c>
      <c r="B17" s="49" t="s">
        <v>144</v>
      </c>
      <c r="C17" s="50"/>
      <c r="D17" s="133" t="s">
        <v>157</v>
      </c>
      <c r="E17" s="128"/>
      <c r="F17" s="128"/>
      <c r="G17" s="128"/>
      <c r="H17" s="128"/>
    </row>
    <row r="18" spans="1:8" ht="30" customHeight="1" x14ac:dyDescent="0.3">
      <c r="A18" s="95" t="s">
        <v>139</v>
      </c>
      <c r="B18" s="51" t="s">
        <v>146</v>
      </c>
      <c r="C18" s="52"/>
      <c r="D18" s="130" t="s">
        <v>158</v>
      </c>
      <c r="E18" s="128"/>
      <c r="F18" s="128"/>
      <c r="G18" s="128"/>
      <c r="H18" s="128"/>
    </row>
    <row r="19" spans="1:8" ht="30" customHeight="1" x14ac:dyDescent="0.3">
      <c r="A19" s="95" t="s">
        <v>105</v>
      </c>
      <c r="B19" s="51" t="s">
        <v>146</v>
      </c>
      <c r="C19" s="52"/>
      <c r="D19" s="130" t="s">
        <v>159</v>
      </c>
      <c r="E19" s="128"/>
      <c r="F19" s="128"/>
      <c r="G19" s="128"/>
      <c r="H19" s="128"/>
    </row>
  </sheetData>
  <mergeCells count="11">
    <mergeCell ref="D19:H19"/>
    <mergeCell ref="A13:H13"/>
    <mergeCell ref="D14:H14"/>
    <mergeCell ref="A1:H1"/>
    <mergeCell ref="D18:H18"/>
    <mergeCell ref="D17:H17"/>
    <mergeCell ref="A4:H4"/>
    <mergeCell ref="A3:H3"/>
    <mergeCell ref="D15:H15"/>
    <mergeCell ref="D16:H16"/>
    <mergeCell ref="A2:H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85C00"/>
  </sheetPr>
  <dimension ref="A1:H19"/>
  <sheetViews>
    <sheetView showGridLines="0" topLeftCell="A7" zoomScaleNormal="100" workbookViewId="0">
      <selection sqref="A1:H1"/>
    </sheetView>
  </sheetViews>
  <sheetFormatPr defaultColWidth="8.6640625" defaultRowHeight="14.4" x14ac:dyDescent="0.3"/>
  <cols>
    <col min="1" max="1" width="30" customWidth="1"/>
    <col min="2" max="5" width="14" customWidth="1"/>
    <col min="6" max="6" width="18" customWidth="1"/>
    <col min="7" max="7" width="2" customWidth="1"/>
    <col min="8" max="8" width="52" customWidth="1"/>
  </cols>
  <sheetData>
    <row r="1" spans="1:8" ht="27.75" customHeight="1" x14ac:dyDescent="0.3">
      <c r="A1" s="118" t="s">
        <v>160</v>
      </c>
      <c r="B1" s="104"/>
      <c r="C1" s="104"/>
      <c r="D1" s="104"/>
      <c r="E1" s="104"/>
      <c r="F1" s="104"/>
      <c r="G1" s="104"/>
      <c r="H1" s="104"/>
    </row>
    <row r="2" spans="1:8" ht="15.75" customHeight="1" x14ac:dyDescent="0.3">
      <c r="A2" s="115" t="s">
        <v>115</v>
      </c>
      <c r="B2" s="104"/>
      <c r="C2" s="104"/>
      <c r="D2" s="104"/>
      <c r="E2" s="104"/>
      <c r="F2" s="104"/>
      <c r="G2" s="104"/>
      <c r="H2" s="104"/>
    </row>
    <row r="3" spans="1:8" ht="19.5" customHeight="1" x14ac:dyDescent="0.3">
      <c r="A3" s="126" t="s">
        <v>116</v>
      </c>
      <c r="B3" s="104"/>
      <c r="C3" s="104"/>
      <c r="D3" s="104"/>
      <c r="E3" s="104"/>
      <c r="F3" s="104"/>
      <c r="G3" s="104"/>
      <c r="H3" s="104"/>
    </row>
    <row r="4" spans="1:8" ht="18" customHeight="1" x14ac:dyDescent="0.3">
      <c r="A4" s="125" t="s">
        <v>117</v>
      </c>
      <c r="B4" s="104"/>
      <c r="C4" s="104"/>
      <c r="D4" s="104"/>
      <c r="E4" s="104"/>
      <c r="F4" s="104"/>
      <c r="G4" s="104"/>
      <c r="H4" s="104"/>
    </row>
    <row r="5" spans="1:8" ht="19.5" customHeight="1" x14ac:dyDescent="0.3">
      <c r="A5" s="84" t="s">
        <v>118</v>
      </c>
      <c r="B5" s="16" t="s">
        <v>38</v>
      </c>
      <c r="C5" s="16" t="s">
        <v>39</v>
      </c>
      <c r="D5" s="16" t="s">
        <v>40</v>
      </c>
      <c r="E5" s="16" t="s">
        <v>41</v>
      </c>
      <c r="F5" s="16" t="s">
        <v>119</v>
      </c>
      <c r="G5" s="16"/>
      <c r="H5" s="16" t="s">
        <v>120</v>
      </c>
    </row>
    <row r="6" spans="1:8" ht="57.75" customHeight="1" x14ac:dyDescent="0.3">
      <c r="A6" s="88" t="s">
        <v>121</v>
      </c>
      <c r="B6" s="36">
        <f>DBCORP!C8/DBCORP!C7</f>
        <v>0.73188405797101452</v>
      </c>
      <c r="C6" s="36">
        <f>DBCORP!D8/DBCORP!D7</f>
        <v>0.73240883410374935</v>
      </c>
      <c r="D6" s="36">
        <f>DBCORP!E8/DBCORP!E7</f>
        <v>0.74199210179903463</v>
      </c>
      <c r="E6" s="36">
        <f>DBCORP!F8/DBCORP!F7</f>
        <v>0.75243147656940756</v>
      </c>
      <c r="F6" s="37">
        <f t="shared" ref="F6:F11" si="0">(E6-B6)/ABS(B6)</f>
        <v>2.8074690758200391E-2</v>
      </c>
      <c r="G6" s="38"/>
      <c r="H6" s="39" t="s">
        <v>161</v>
      </c>
    </row>
    <row r="7" spans="1:8" ht="57.75" customHeight="1" x14ac:dyDescent="0.3">
      <c r="A7" s="89" t="s">
        <v>123</v>
      </c>
      <c r="B7" s="40">
        <f>DBCORP!C7/DBCORP!C6</f>
        <v>1.0020746887966805</v>
      </c>
      <c r="C7" s="40">
        <f>DBCORP!D7/DBCORP!D6</f>
        <v>0.96195652173913038</v>
      </c>
      <c r="D7" s="40">
        <f>DBCORP!E7/DBCORP!E6</f>
        <v>1.0133392618941752</v>
      </c>
      <c r="E7" s="40">
        <f>DBCORP!F7/DBCORP!F6</f>
        <v>1.0789925586720091</v>
      </c>
      <c r="F7" s="37">
        <f t="shared" si="0"/>
        <v>7.6758619627139479E-2</v>
      </c>
      <c r="G7" s="38"/>
      <c r="H7" s="39" t="s">
        <v>162</v>
      </c>
    </row>
    <row r="8" spans="1:8" ht="57.75" customHeight="1" x14ac:dyDescent="0.3">
      <c r="A8" s="90" t="s">
        <v>125</v>
      </c>
      <c r="B8" s="41">
        <f>DBCORP!C6/DBCORP!C5</f>
        <v>0.12771595124536303</v>
      </c>
      <c r="C8" s="41">
        <f>DBCORP!D6/DBCORP!D5</f>
        <v>0.11433090436649156</v>
      </c>
      <c r="D8" s="41">
        <f>DBCORP!E6/DBCORP!E5</f>
        <v>0.10549275294338384</v>
      </c>
      <c r="E8" s="41">
        <f>DBCORP!F6/DBCORP!F5</f>
        <v>0.2177218344965105</v>
      </c>
      <c r="F8" s="37">
        <f t="shared" si="0"/>
        <v>0.70473486180462763</v>
      </c>
      <c r="G8" s="38"/>
      <c r="H8" s="39" t="s">
        <v>163</v>
      </c>
    </row>
    <row r="9" spans="1:8" ht="57.75" customHeight="1" x14ac:dyDescent="0.3">
      <c r="A9" s="88" t="s">
        <v>127</v>
      </c>
      <c r="B9" s="32">
        <f>DBCORP!C5/DBCORP!C10</f>
        <v>0.60969305331179313</v>
      </c>
      <c r="C9" s="32">
        <f>DBCORP!D5/DBCORP!D10</f>
        <v>0.69782017422838893</v>
      </c>
      <c r="D9" s="32">
        <f>DBCORP!E5/DBCORP!E10</f>
        <v>0.82670234217465488</v>
      </c>
      <c r="E9" s="32">
        <f>DBCORP!F5/DBCORP!F10</f>
        <v>0.8043572693554315</v>
      </c>
      <c r="F9" s="37">
        <f t="shared" si="0"/>
        <v>0.31928232573135179</v>
      </c>
      <c r="G9" s="38"/>
      <c r="H9" s="39" t="s">
        <v>164</v>
      </c>
    </row>
    <row r="10" spans="1:8" ht="57.75" customHeight="1" x14ac:dyDescent="0.3">
      <c r="A10" s="89" t="s">
        <v>129</v>
      </c>
      <c r="B10" s="26">
        <f>DBCORP!C10/DBCORP!C11</f>
        <v>1.3582752756596632</v>
      </c>
      <c r="C10" s="26">
        <f>DBCORP!D10/DBCORP!D11</f>
        <v>1.3440529801324503</v>
      </c>
      <c r="D10" s="26">
        <f>DBCORP!E10/DBCORP!E11</f>
        <v>1.3260657170771841</v>
      </c>
      <c r="E10" s="26">
        <f>DBCORP!F10/DBCORP!F11</f>
        <v>1.345275555155983</v>
      </c>
      <c r="F10" s="37">
        <f t="shared" si="0"/>
        <v>-9.5707554548298615E-3</v>
      </c>
      <c r="G10" s="38"/>
      <c r="H10" s="39" t="s">
        <v>165</v>
      </c>
    </row>
    <row r="11" spans="1:8" ht="72" customHeight="1" x14ac:dyDescent="0.3">
      <c r="A11" s="87" t="s">
        <v>131</v>
      </c>
      <c r="B11" s="54">
        <f>B6*B7*B8*B9*B10</f>
        <v>7.7568709199626967E-2</v>
      </c>
      <c r="C11" s="54">
        <f>C6*C7*C8*C9*C10</f>
        <v>7.5549668874172179E-2</v>
      </c>
      <c r="D11" s="54">
        <f>D6*D7*D8*D9*D10</f>
        <v>8.6954286008124645E-2</v>
      </c>
      <c r="E11" s="54">
        <f>E6*E7*E8*E9*E10</f>
        <v>0.19127034073541307</v>
      </c>
      <c r="F11" s="54">
        <f t="shared" si="0"/>
        <v>1.4658182752940911</v>
      </c>
      <c r="H11" s="43" t="s">
        <v>166</v>
      </c>
    </row>
    <row r="12" spans="1:8" x14ac:dyDescent="0.3">
      <c r="A12" s="74"/>
    </row>
    <row r="13" spans="1:8" ht="19.5" customHeight="1" x14ac:dyDescent="0.3">
      <c r="A13" s="111" t="s">
        <v>133</v>
      </c>
      <c r="B13" s="104"/>
      <c r="C13" s="104"/>
      <c r="D13" s="104"/>
      <c r="E13" s="104"/>
      <c r="F13" s="104"/>
      <c r="G13" s="104"/>
      <c r="H13" s="104"/>
    </row>
    <row r="14" spans="1:8" ht="18" customHeight="1" x14ac:dyDescent="0.3">
      <c r="A14" s="91" t="s">
        <v>134</v>
      </c>
      <c r="B14" s="44" t="s">
        <v>135</v>
      </c>
      <c r="C14" s="44"/>
      <c r="D14" s="131" t="s">
        <v>136</v>
      </c>
      <c r="E14" s="128"/>
      <c r="F14" s="128"/>
      <c r="G14" s="128"/>
      <c r="H14" s="132"/>
    </row>
    <row r="15" spans="1:8" ht="30" customHeight="1" x14ac:dyDescent="0.3">
      <c r="A15" s="92" t="s">
        <v>79</v>
      </c>
      <c r="B15" s="45" t="s">
        <v>137</v>
      </c>
      <c r="C15" s="46"/>
      <c r="D15" s="127" t="s">
        <v>167</v>
      </c>
      <c r="E15" s="128"/>
      <c r="F15" s="128"/>
      <c r="G15" s="128"/>
      <c r="H15" s="128"/>
    </row>
    <row r="16" spans="1:8" ht="30" customHeight="1" x14ac:dyDescent="0.3">
      <c r="A16" s="93" t="s">
        <v>89</v>
      </c>
      <c r="B16" s="47" t="s">
        <v>140</v>
      </c>
      <c r="C16" s="48"/>
      <c r="D16" s="129" t="s">
        <v>168</v>
      </c>
      <c r="E16" s="128"/>
      <c r="F16" s="128"/>
      <c r="G16" s="128"/>
      <c r="H16" s="128"/>
    </row>
    <row r="17" spans="1:8" ht="30" customHeight="1" x14ac:dyDescent="0.3">
      <c r="A17" s="94" t="s">
        <v>142</v>
      </c>
      <c r="B17" s="49" t="s">
        <v>144</v>
      </c>
      <c r="C17" s="50"/>
      <c r="D17" s="133" t="s">
        <v>169</v>
      </c>
      <c r="E17" s="128"/>
      <c r="F17" s="128"/>
      <c r="G17" s="128"/>
      <c r="H17" s="128"/>
    </row>
    <row r="18" spans="1:8" ht="30" customHeight="1" x14ac:dyDescent="0.3">
      <c r="A18" s="95" t="s">
        <v>139</v>
      </c>
      <c r="B18" s="51" t="s">
        <v>146</v>
      </c>
      <c r="C18" s="52"/>
      <c r="D18" s="130" t="s">
        <v>170</v>
      </c>
      <c r="E18" s="128"/>
      <c r="F18" s="128"/>
      <c r="G18" s="128"/>
      <c r="H18" s="128"/>
    </row>
    <row r="19" spans="1:8" ht="30" customHeight="1" x14ac:dyDescent="0.3">
      <c r="A19" s="95" t="s">
        <v>105</v>
      </c>
      <c r="B19" s="51" t="s">
        <v>146</v>
      </c>
      <c r="C19" s="52"/>
      <c r="D19" s="130" t="s">
        <v>171</v>
      </c>
      <c r="E19" s="128"/>
      <c r="F19" s="128"/>
      <c r="G19" s="128"/>
      <c r="H19" s="128"/>
    </row>
  </sheetData>
  <mergeCells count="11">
    <mergeCell ref="D19:H19"/>
    <mergeCell ref="A13:H13"/>
    <mergeCell ref="D14:H14"/>
    <mergeCell ref="A1:H1"/>
    <mergeCell ref="D18:H18"/>
    <mergeCell ref="D17:H17"/>
    <mergeCell ref="A4:H4"/>
    <mergeCell ref="A3:H3"/>
    <mergeCell ref="D15:H15"/>
    <mergeCell ref="D16:H16"/>
    <mergeCell ref="A2:H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sheetPr>
  <dimension ref="A1:H45"/>
  <sheetViews>
    <sheetView showGridLines="0" tabSelected="1" topLeftCell="G15" zoomScaleNormal="100" workbookViewId="0">
      <selection sqref="A1:H1"/>
    </sheetView>
  </sheetViews>
  <sheetFormatPr defaultColWidth="8.6640625" defaultRowHeight="14.4" x14ac:dyDescent="0.3"/>
  <cols>
    <col min="1" max="1" width="22" customWidth="1"/>
    <col min="2" max="2" width="28" customWidth="1"/>
    <col min="3" max="6" width="12" customWidth="1"/>
    <col min="7" max="7" width="16" customWidth="1"/>
    <col min="8" max="8" width="58" customWidth="1"/>
  </cols>
  <sheetData>
    <row r="1" spans="1:8" ht="27.75" customHeight="1" x14ac:dyDescent="0.3">
      <c r="A1" s="114" t="s">
        <v>172</v>
      </c>
      <c r="B1" s="104"/>
      <c r="C1" s="104"/>
      <c r="D1" s="104"/>
      <c r="E1" s="104"/>
      <c r="F1" s="104"/>
      <c r="G1" s="104"/>
      <c r="H1" s="104"/>
    </row>
    <row r="2" spans="1:8" ht="15.75" customHeight="1" x14ac:dyDescent="0.3">
      <c r="A2" s="115" t="s">
        <v>173</v>
      </c>
      <c r="B2" s="104"/>
      <c r="C2" s="104"/>
      <c r="D2" s="104"/>
      <c r="E2" s="104"/>
      <c r="F2" s="104"/>
      <c r="G2" s="104"/>
      <c r="H2" s="104"/>
    </row>
    <row r="3" spans="1:8" ht="19.5" customHeight="1" x14ac:dyDescent="0.3">
      <c r="A3" s="135" t="s">
        <v>174</v>
      </c>
      <c r="B3" s="104"/>
      <c r="C3" s="104"/>
      <c r="D3" s="104"/>
      <c r="E3" s="134" t="s">
        <v>175</v>
      </c>
      <c r="F3" s="104"/>
      <c r="G3" s="104"/>
      <c r="H3" s="104"/>
    </row>
    <row r="4" spans="1:8" x14ac:dyDescent="0.3">
      <c r="A4" s="74"/>
    </row>
    <row r="5" spans="1:8" ht="19.5" customHeight="1" x14ac:dyDescent="0.3">
      <c r="A5" s="112" t="s">
        <v>176</v>
      </c>
      <c r="B5" s="104"/>
      <c r="C5" s="104"/>
      <c r="D5" s="104"/>
      <c r="E5" s="104"/>
      <c r="F5" s="104"/>
      <c r="G5" s="104"/>
      <c r="H5" s="104"/>
    </row>
    <row r="6" spans="1:8" ht="18" customHeight="1" x14ac:dyDescent="0.3">
      <c r="A6" s="96" t="s">
        <v>2</v>
      </c>
      <c r="B6" s="55" t="s">
        <v>38</v>
      </c>
      <c r="C6" s="55" t="s">
        <v>39</v>
      </c>
      <c r="D6" s="55" t="s">
        <v>40</v>
      </c>
      <c r="E6" s="55" t="s">
        <v>41</v>
      </c>
      <c r="F6" s="55"/>
      <c r="G6" s="55"/>
      <c r="H6" s="55" t="s">
        <v>177</v>
      </c>
    </row>
    <row r="7" spans="1:8" ht="18" customHeight="1" x14ac:dyDescent="0.3">
      <c r="A7" s="97" t="s">
        <v>6</v>
      </c>
      <c r="B7" s="56">
        <v>1842.3</v>
      </c>
      <c r="C7" s="56">
        <v>1523.7</v>
      </c>
      <c r="D7" s="56">
        <v>312.39999999999998</v>
      </c>
      <c r="E7" s="56">
        <v>892.1</v>
      </c>
      <c r="F7" s="57"/>
      <c r="G7" s="57"/>
      <c r="H7" s="58" t="s">
        <v>178</v>
      </c>
    </row>
    <row r="8" spans="1:8" ht="18" customHeight="1" x14ac:dyDescent="0.3">
      <c r="A8" s="98" t="s">
        <v>10</v>
      </c>
      <c r="B8" s="56">
        <v>285.60000000000002</v>
      </c>
      <c r="C8" s="56">
        <v>412.3</v>
      </c>
      <c r="D8" s="56">
        <v>389.1</v>
      </c>
      <c r="E8" s="56">
        <v>421.7</v>
      </c>
      <c r="F8" s="57"/>
      <c r="G8" s="57"/>
      <c r="H8" s="58" t="s">
        <v>178</v>
      </c>
    </row>
    <row r="9" spans="1:8" ht="18" customHeight="1" x14ac:dyDescent="0.3">
      <c r="A9" s="99" t="s">
        <v>14</v>
      </c>
      <c r="B9" s="56">
        <v>312.8</v>
      </c>
      <c r="C9" s="56">
        <v>389.4</v>
      </c>
      <c r="D9" s="56">
        <v>421.6</v>
      </c>
      <c r="E9" s="56">
        <v>782.3</v>
      </c>
      <c r="F9" s="57"/>
      <c r="G9" s="57"/>
      <c r="H9" s="58" t="s">
        <v>178</v>
      </c>
    </row>
    <row r="10" spans="1:8" x14ac:dyDescent="0.3">
      <c r="A10" s="74"/>
    </row>
    <row r="11" spans="1:8" x14ac:dyDescent="0.3">
      <c r="A11" s="74"/>
    </row>
    <row r="12" spans="1:8" ht="21.75" customHeight="1" x14ac:dyDescent="0.3">
      <c r="A12" s="103" t="s">
        <v>179</v>
      </c>
      <c r="B12" s="104"/>
      <c r="C12" s="104"/>
      <c r="D12" s="104"/>
      <c r="E12" s="104"/>
      <c r="F12" s="104"/>
      <c r="G12" s="104"/>
      <c r="H12" s="104"/>
    </row>
    <row r="13" spans="1:8" ht="18" customHeight="1" x14ac:dyDescent="0.3">
      <c r="A13" s="96" t="s">
        <v>180</v>
      </c>
      <c r="B13" s="55" t="s">
        <v>36</v>
      </c>
      <c r="C13" s="55" t="s">
        <v>38</v>
      </c>
      <c r="D13" s="55" t="s">
        <v>39</v>
      </c>
      <c r="E13" s="55" t="s">
        <v>40</v>
      </c>
      <c r="F13" s="55" t="s">
        <v>41</v>
      </c>
      <c r="G13" s="55" t="s">
        <v>181</v>
      </c>
      <c r="H13" s="55" t="s">
        <v>182</v>
      </c>
    </row>
    <row r="14" spans="1:8" ht="55.5" customHeight="1" x14ac:dyDescent="0.3">
      <c r="A14" s="100" t="s">
        <v>183</v>
      </c>
      <c r="B14" s="59" t="s">
        <v>184</v>
      </c>
      <c r="C14" s="60" t="s">
        <v>185</v>
      </c>
      <c r="D14" s="60" t="s">
        <v>186</v>
      </c>
      <c r="E14" s="60" t="s">
        <v>187</v>
      </c>
      <c r="F14" s="60" t="s">
        <v>188</v>
      </c>
      <c r="G14" s="61" t="s">
        <v>189</v>
      </c>
      <c r="H14" s="62" t="s">
        <v>190</v>
      </c>
    </row>
    <row r="15" spans="1:8" ht="55.5" customHeight="1" x14ac:dyDescent="0.3">
      <c r="A15" s="100" t="s">
        <v>183</v>
      </c>
      <c r="B15" s="59" t="s">
        <v>191</v>
      </c>
      <c r="C15" s="60" t="s">
        <v>192</v>
      </c>
      <c r="D15" s="60" t="s">
        <v>193</v>
      </c>
      <c r="E15" s="60" t="s">
        <v>194</v>
      </c>
      <c r="F15" s="60" t="s">
        <v>195</v>
      </c>
      <c r="G15" s="61" t="s">
        <v>196</v>
      </c>
      <c r="H15" s="62" t="s">
        <v>197</v>
      </c>
    </row>
    <row r="16" spans="1:8" ht="55.5" customHeight="1" x14ac:dyDescent="0.3">
      <c r="A16" s="101" t="s">
        <v>198</v>
      </c>
      <c r="B16" s="63" t="s">
        <v>199</v>
      </c>
      <c r="C16" s="64" t="s">
        <v>55</v>
      </c>
      <c r="D16" s="64" t="s">
        <v>186</v>
      </c>
      <c r="E16" s="64" t="s">
        <v>187</v>
      </c>
      <c r="F16" s="64" t="s">
        <v>55</v>
      </c>
      <c r="G16" s="65" t="s">
        <v>200</v>
      </c>
      <c r="H16" s="66" t="s">
        <v>201</v>
      </c>
    </row>
    <row r="17" spans="1:8" ht="55.5" customHeight="1" x14ac:dyDescent="0.3">
      <c r="A17" s="101" t="s">
        <v>202</v>
      </c>
      <c r="B17" s="63" t="s">
        <v>203</v>
      </c>
      <c r="C17" s="64" t="s">
        <v>204</v>
      </c>
      <c r="D17" s="64" t="s">
        <v>205</v>
      </c>
      <c r="E17" s="64" t="s">
        <v>206</v>
      </c>
      <c r="F17" s="64" t="s">
        <v>207</v>
      </c>
      <c r="G17" s="65" t="s">
        <v>200</v>
      </c>
      <c r="H17" s="66" t="s">
        <v>208</v>
      </c>
    </row>
    <row r="18" spans="1:8" ht="55.5" customHeight="1" x14ac:dyDescent="0.3">
      <c r="A18" s="102" t="s">
        <v>209</v>
      </c>
      <c r="B18" s="67" t="s">
        <v>210</v>
      </c>
      <c r="C18" s="68" t="s">
        <v>211</v>
      </c>
      <c r="D18" s="68" t="s">
        <v>212</v>
      </c>
      <c r="E18" s="68" t="s">
        <v>213</v>
      </c>
      <c r="F18" s="68" t="s">
        <v>214</v>
      </c>
      <c r="G18" s="69" t="s">
        <v>215</v>
      </c>
      <c r="H18" s="70" t="s">
        <v>216</v>
      </c>
    </row>
    <row r="19" spans="1:8" ht="55.5" customHeight="1" x14ac:dyDescent="0.3">
      <c r="A19" s="102" t="s">
        <v>217</v>
      </c>
      <c r="B19" s="67" t="s">
        <v>218</v>
      </c>
      <c r="C19" s="68" t="s">
        <v>219</v>
      </c>
      <c r="D19" s="68" t="s">
        <v>220</v>
      </c>
      <c r="E19" s="68" t="s">
        <v>221</v>
      </c>
      <c r="F19" s="68" t="s">
        <v>220</v>
      </c>
      <c r="G19" s="69" t="s">
        <v>215</v>
      </c>
      <c r="H19" s="70" t="s">
        <v>222</v>
      </c>
    </row>
    <row r="20" spans="1:8" ht="55.5" customHeight="1" x14ac:dyDescent="0.3">
      <c r="A20" s="102" t="s">
        <v>223</v>
      </c>
      <c r="B20" s="67" t="s">
        <v>224</v>
      </c>
      <c r="C20" s="68" t="s">
        <v>225</v>
      </c>
      <c r="D20" s="68" t="s">
        <v>226</v>
      </c>
      <c r="E20" s="68" t="s">
        <v>227</v>
      </c>
      <c r="F20" s="68" t="s">
        <v>228</v>
      </c>
      <c r="G20" s="69" t="s">
        <v>229</v>
      </c>
      <c r="H20" s="70" t="s">
        <v>230</v>
      </c>
    </row>
    <row r="21" spans="1:8" x14ac:dyDescent="0.3">
      <c r="A21" s="74"/>
    </row>
    <row r="22" spans="1:8" ht="21.75" customHeight="1" x14ac:dyDescent="0.3">
      <c r="A22" s="137" t="s">
        <v>231</v>
      </c>
      <c r="B22" s="104"/>
      <c r="C22" s="104"/>
      <c r="D22" s="104"/>
      <c r="E22" s="104"/>
      <c r="F22" s="104"/>
      <c r="G22" s="104"/>
      <c r="H22" s="104"/>
    </row>
    <row r="23" spans="1:8" ht="18" customHeight="1" x14ac:dyDescent="0.3">
      <c r="A23" s="96" t="s">
        <v>180</v>
      </c>
      <c r="B23" s="55" t="s">
        <v>36</v>
      </c>
      <c r="C23" s="55" t="s">
        <v>38</v>
      </c>
      <c r="D23" s="55" t="s">
        <v>39</v>
      </c>
      <c r="E23" s="55" t="s">
        <v>40</v>
      </c>
      <c r="F23" s="55" t="s">
        <v>41</v>
      </c>
      <c r="G23" s="55" t="s">
        <v>181</v>
      </c>
      <c r="H23" s="55" t="s">
        <v>182</v>
      </c>
    </row>
    <row r="24" spans="1:8" ht="55.5" customHeight="1" x14ac:dyDescent="0.3">
      <c r="A24" s="102" t="s">
        <v>232</v>
      </c>
      <c r="B24" s="67" t="s">
        <v>233</v>
      </c>
      <c r="C24" s="68" t="s">
        <v>234</v>
      </c>
      <c r="D24" s="68" t="s">
        <v>235</v>
      </c>
      <c r="E24" s="68" t="s">
        <v>236</v>
      </c>
      <c r="F24" s="68" t="s">
        <v>237</v>
      </c>
      <c r="G24" s="69" t="s">
        <v>215</v>
      </c>
      <c r="H24" s="70" t="s">
        <v>238</v>
      </c>
    </row>
    <row r="25" spans="1:8" ht="55.5" customHeight="1" x14ac:dyDescent="0.3">
      <c r="A25" s="100" t="s">
        <v>198</v>
      </c>
      <c r="B25" s="59" t="s">
        <v>239</v>
      </c>
      <c r="C25" s="60" t="s">
        <v>240</v>
      </c>
      <c r="D25" s="60" t="s">
        <v>241</v>
      </c>
      <c r="E25" s="60" t="s">
        <v>242</v>
      </c>
      <c r="F25" s="60" t="s">
        <v>243</v>
      </c>
      <c r="G25" s="61" t="s">
        <v>196</v>
      </c>
      <c r="H25" s="62" t="s">
        <v>244</v>
      </c>
    </row>
    <row r="26" spans="1:8" ht="55.5" customHeight="1" x14ac:dyDescent="0.3">
      <c r="A26" s="100" t="s">
        <v>202</v>
      </c>
      <c r="B26" s="59" t="s">
        <v>245</v>
      </c>
      <c r="C26" s="60" t="s">
        <v>246</v>
      </c>
      <c r="D26" s="60" t="s">
        <v>247</v>
      </c>
      <c r="E26" s="60" t="s">
        <v>248</v>
      </c>
      <c r="F26" s="60" t="s">
        <v>249</v>
      </c>
      <c r="G26" s="61" t="s">
        <v>250</v>
      </c>
      <c r="H26" s="62" t="s">
        <v>251</v>
      </c>
    </row>
    <row r="27" spans="1:8" ht="55.5" customHeight="1" x14ac:dyDescent="0.3">
      <c r="A27" s="102" t="s">
        <v>209</v>
      </c>
      <c r="B27" s="67" t="s">
        <v>252</v>
      </c>
      <c r="C27" s="68" t="s">
        <v>55</v>
      </c>
      <c r="D27" s="68" t="s">
        <v>55</v>
      </c>
      <c r="E27" s="68" t="s">
        <v>242</v>
      </c>
      <c r="F27" s="68" t="s">
        <v>243</v>
      </c>
      <c r="G27" s="69" t="s">
        <v>229</v>
      </c>
      <c r="H27" s="70" t="s">
        <v>253</v>
      </c>
    </row>
    <row r="28" spans="1:8" ht="55.5" customHeight="1" x14ac:dyDescent="0.3">
      <c r="A28" s="102" t="s">
        <v>254</v>
      </c>
      <c r="B28" s="67" t="s">
        <v>255</v>
      </c>
      <c r="C28" s="68" t="s">
        <v>256</v>
      </c>
      <c r="D28" s="68" t="s">
        <v>257</v>
      </c>
      <c r="E28" s="68" t="s">
        <v>258</v>
      </c>
      <c r="F28" s="68" t="s">
        <v>259</v>
      </c>
      <c r="G28" s="69" t="s">
        <v>215</v>
      </c>
      <c r="H28" s="70" t="s">
        <v>260</v>
      </c>
    </row>
    <row r="29" spans="1:8" ht="55.5" customHeight="1" x14ac:dyDescent="0.3">
      <c r="A29" s="102" t="s">
        <v>261</v>
      </c>
      <c r="B29" s="67" t="s">
        <v>262</v>
      </c>
      <c r="C29" s="68" t="s">
        <v>263</v>
      </c>
      <c r="D29" s="68" t="s">
        <v>264</v>
      </c>
      <c r="E29" s="68" t="s">
        <v>265</v>
      </c>
      <c r="F29" s="68" t="s">
        <v>266</v>
      </c>
      <c r="G29" s="69" t="s">
        <v>229</v>
      </c>
      <c r="H29" s="70" t="s">
        <v>267</v>
      </c>
    </row>
    <row r="30" spans="1:8" x14ac:dyDescent="0.3">
      <c r="A30" s="74"/>
    </row>
    <row r="31" spans="1:8" ht="21.75" customHeight="1" x14ac:dyDescent="0.3">
      <c r="A31" s="138" t="s">
        <v>268</v>
      </c>
      <c r="B31" s="104"/>
      <c r="C31" s="104"/>
      <c r="D31" s="104"/>
      <c r="E31" s="104"/>
      <c r="F31" s="104"/>
      <c r="G31" s="104"/>
      <c r="H31" s="104"/>
    </row>
    <row r="32" spans="1:8" ht="18" customHeight="1" x14ac:dyDescent="0.3">
      <c r="A32" s="96" t="s">
        <v>180</v>
      </c>
      <c r="B32" s="55" t="s">
        <v>36</v>
      </c>
      <c r="C32" s="55" t="s">
        <v>38</v>
      </c>
      <c r="D32" s="55" t="s">
        <v>39</v>
      </c>
      <c r="E32" s="55" t="s">
        <v>40</v>
      </c>
      <c r="F32" s="55" t="s">
        <v>41</v>
      </c>
      <c r="G32" s="55" t="s">
        <v>181</v>
      </c>
      <c r="H32" s="55" t="s">
        <v>182</v>
      </c>
    </row>
    <row r="33" spans="1:8" ht="55.5" customHeight="1" x14ac:dyDescent="0.3">
      <c r="A33" s="102" t="s">
        <v>232</v>
      </c>
      <c r="B33" s="67" t="s">
        <v>269</v>
      </c>
      <c r="C33" s="68" t="s">
        <v>270</v>
      </c>
      <c r="D33" s="68" t="s">
        <v>236</v>
      </c>
      <c r="E33" s="68" t="s">
        <v>237</v>
      </c>
      <c r="F33" s="68" t="s">
        <v>271</v>
      </c>
      <c r="G33" s="69" t="s">
        <v>272</v>
      </c>
      <c r="H33" s="70" t="s">
        <v>273</v>
      </c>
    </row>
    <row r="34" spans="1:8" ht="55.5" customHeight="1" x14ac:dyDescent="0.3">
      <c r="A34" s="102" t="s">
        <v>274</v>
      </c>
      <c r="B34" s="67" t="s">
        <v>275</v>
      </c>
      <c r="C34" s="68" t="s">
        <v>276</v>
      </c>
      <c r="D34" s="68" t="s">
        <v>277</v>
      </c>
      <c r="E34" s="68" t="s">
        <v>278</v>
      </c>
      <c r="F34" s="68" t="s">
        <v>279</v>
      </c>
      <c r="G34" s="69" t="s">
        <v>280</v>
      </c>
      <c r="H34" s="70" t="s">
        <v>281</v>
      </c>
    </row>
    <row r="35" spans="1:8" ht="55.5" customHeight="1" x14ac:dyDescent="0.3">
      <c r="A35" s="102" t="s">
        <v>209</v>
      </c>
      <c r="B35" s="67" t="s">
        <v>282</v>
      </c>
      <c r="C35" s="68" t="s">
        <v>283</v>
      </c>
      <c r="D35" s="68" t="s">
        <v>284</v>
      </c>
      <c r="E35" s="68" t="s">
        <v>285</v>
      </c>
      <c r="F35" s="68" t="s">
        <v>284</v>
      </c>
      <c r="G35" s="69" t="s">
        <v>272</v>
      </c>
      <c r="H35" s="70" t="s">
        <v>286</v>
      </c>
    </row>
    <row r="36" spans="1:8" ht="55.5" customHeight="1" x14ac:dyDescent="0.3">
      <c r="A36" s="100" t="s">
        <v>198</v>
      </c>
      <c r="B36" s="59" t="s">
        <v>287</v>
      </c>
      <c r="C36" s="60" t="s">
        <v>288</v>
      </c>
      <c r="D36" s="60" t="s">
        <v>289</v>
      </c>
      <c r="E36" s="60" t="s">
        <v>290</v>
      </c>
      <c r="F36" s="60" t="s">
        <v>291</v>
      </c>
      <c r="G36" s="61" t="s">
        <v>196</v>
      </c>
      <c r="H36" s="62" t="s">
        <v>292</v>
      </c>
    </row>
    <row r="37" spans="1:8" ht="55.5" customHeight="1" x14ac:dyDescent="0.3">
      <c r="A37" s="100" t="s">
        <v>293</v>
      </c>
      <c r="B37" s="59" t="s">
        <v>294</v>
      </c>
      <c r="C37" s="60" t="s">
        <v>295</v>
      </c>
      <c r="D37" s="60" t="s">
        <v>296</v>
      </c>
      <c r="E37" s="60" t="s">
        <v>206</v>
      </c>
      <c r="F37" s="60" t="s">
        <v>297</v>
      </c>
      <c r="G37" s="61" t="s">
        <v>298</v>
      </c>
      <c r="H37" s="62" t="s">
        <v>299</v>
      </c>
    </row>
    <row r="38" spans="1:8" ht="55.5" customHeight="1" x14ac:dyDescent="0.3">
      <c r="A38" s="102" t="s">
        <v>261</v>
      </c>
      <c r="B38" s="67" t="s">
        <v>300</v>
      </c>
      <c r="C38" s="68" t="s">
        <v>301</v>
      </c>
      <c r="D38" s="68" t="s">
        <v>302</v>
      </c>
      <c r="E38" s="68" t="s">
        <v>303</v>
      </c>
      <c r="F38" s="68" t="s">
        <v>304</v>
      </c>
      <c r="G38" s="69" t="s">
        <v>272</v>
      </c>
      <c r="H38" s="70" t="s">
        <v>305</v>
      </c>
    </row>
    <row r="39" spans="1:8" ht="55.5" customHeight="1" x14ac:dyDescent="0.3">
      <c r="A39" s="102" t="s">
        <v>306</v>
      </c>
      <c r="B39" s="67" t="s">
        <v>307</v>
      </c>
      <c r="C39" s="68" t="s">
        <v>308</v>
      </c>
      <c r="D39" s="68" t="s">
        <v>309</v>
      </c>
      <c r="E39" s="68" t="s">
        <v>310</v>
      </c>
      <c r="F39" s="68" t="s">
        <v>311</v>
      </c>
      <c r="G39" s="69" t="s">
        <v>229</v>
      </c>
      <c r="H39" s="70" t="s">
        <v>312</v>
      </c>
    </row>
    <row r="40" spans="1:8" x14ac:dyDescent="0.3">
      <c r="A40" s="74"/>
    </row>
    <row r="41" spans="1:8" ht="21.75" customHeight="1" x14ac:dyDescent="0.3">
      <c r="A41" s="103" t="s">
        <v>313</v>
      </c>
      <c r="B41" s="104"/>
      <c r="C41" s="104"/>
      <c r="D41" s="104"/>
      <c r="E41" s="104"/>
      <c r="F41" s="104"/>
      <c r="G41" s="104"/>
      <c r="H41" s="104"/>
    </row>
    <row r="42" spans="1:8" ht="18" customHeight="1" x14ac:dyDescent="0.3">
      <c r="A42" s="91" t="s">
        <v>2</v>
      </c>
      <c r="B42" s="44" t="s">
        <v>314</v>
      </c>
      <c r="C42" s="44" t="s">
        <v>315</v>
      </c>
      <c r="D42" s="44" t="s">
        <v>316</v>
      </c>
      <c r="E42" s="136" t="s">
        <v>317</v>
      </c>
      <c r="F42" s="128"/>
      <c r="G42" s="136" t="s">
        <v>318</v>
      </c>
      <c r="H42" s="128"/>
    </row>
    <row r="43" spans="1:8" ht="27.75" customHeight="1" x14ac:dyDescent="0.3">
      <c r="A43" s="97" t="s">
        <v>63</v>
      </c>
      <c r="B43" s="71" t="s">
        <v>319</v>
      </c>
      <c r="C43" s="71" t="s">
        <v>320</v>
      </c>
      <c r="D43" s="71" t="s">
        <v>321</v>
      </c>
      <c r="E43" s="127" t="s">
        <v>322</v>
      </c>
      <c r="F43" s="128"/>
      <c r="G43" s="133" t="s">
        <v>323</v>
      </c>
      <c r="H43" s="128"/>
    </row>
    <row r="44" spans="1:8" ht="27.75" customHeight="1" x14ac:dyDescent="0.3">
      <c r="A44" s="98" t="s">
        <v>64</v>
      </c>
      <c r="B44" s="72" t="s">
        <v>324</v>
      </c>
      <c r="C44" s="72" t="s">
        <v>325</v>
      </c>
      <c r="D44" s="72" t="s">
        <v>326</v>
      </c>
      <c r="E44" s="127" t="s">
        <v>327</v>
      </c>
      <c r="F44" s="128"/>
      <c r="G44" s="133" t="s">
        <v>328</v>
      </c>
      <c r="H44" s="128"/>
    </row>
    <row r="45" spans="1:8" ht="27.75" customHeight="1" x14ac:dyDescent="0.3">
      <c r="A45" s="99" t="s">
        <v>329</v>
      </c>
      <c r="B45" s="73" t="s">
        <v>324</v>
      </c>
      <c r="C45" s="73" t="s">
        <v>330</v>
      </c>
      <c r="D45" s="73" t="s">
        <v>331</v>
      </c>
      <c r="E45" s="127" t="s">
        <v>332</v>
      </c>
      <c r="F45" s="128"/>
      <c r="G45" s="133" t="s">
        <v>333</v>
      </c>
      <c r="H45" s="128"/>
    </row>
  </sheetData>
  <mergeCells count="17">
    <mergeCell ref="E45:F45"/>
    <mergeCell ref="G45:H45"/>
    <mergeCell ref="G44:H44"/>
    <mergeCell ref="A1:H1"/>
    <mergeCell ref="A31:H31"/>
    <mergeCell ref="E44:F44"/>
    <mergeCell ref="A2:H2"/>
    <mergeCell ref="A3:D3"/>
    <mergeCell ref="G42:H42"/>
    <mergeCell ref="A22:H22"/>
    <mergeCell ref="E42:F42"/>
    <mergeCell ref="A41:H41"/>
    <mergeCell ref="A12:H12"/>
    <mergeCell ref="E43:F43"/>
    <mergeCell ref="G43:H43"/>
    <mergeCell ref="A5:H5"/>
    <mergeCell ref="E3:H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ZEEL</vt:lpstr>
      <vt:lpstr>JAGRAN</vt:lpstr>
      <vt:lpstr>DBCORP</vt:lpstr>
      <vt:lpstr>Comparison</vt:lpstr>
      <vt:lpstr>Ratio Analysis</vt:lpstr>
      <vt:lpstr>DuPont_ZEEL</vt:lpstr>
      <vt:lpstr>DuPont_JAGRAN</vt:lpstr>
      <vt:lpstr>DuPont_DBCORP</vt:lpstr>
      <vt:lpstr>RedFlag_Analysis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prajval srivastava</cp:lastModifiedBy>
  <cp:revision>0</cp:revision>
  <dcterms:created xsi:type="dcterms:W3CDTF">2026-05-10T06:28:43Z</dcterms:created>
  <dcterms:modified xsi:type="dcterms:W3CDTF">2026-05-10T06:34:29Z</dcterms:modified>
  <dc:language>en-US</dc:language>
</cp:coreProperties>
</file>