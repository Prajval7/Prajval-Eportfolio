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rajval\Downloads\"/>
    </mc:Choice>
  </mc:AlternateContent>
  <xr:revisionPtr revIDLastSave="0" documentId="13_ncr:1_{9C85A4F2-055E-4477-B95B-B81AAD6E7025}" xr6:coauthVersionLast="47" xr6:coauthVersionMax="47" xr10:uidLastSave="{00000000-0000-0000-0000-000000000000}"/>
  <bookViews>
    <workbookView xWindow="-108" yWindow="-108" windowWidth="23256" windowHeight="12456" activeTab="5" xr2:uid="{D7F11DD5-DDCE-4AF8-BD88-F7943258DA26}"/>
  </bookViews>
  <sheets>
    <sheet name="Dashboard" sheetId="5" r:id="rId1"/>
    <sheet name="Dupont" sheetId="14" r:id="rId2"/>
    <sheet name="Dupont DashBoard" sheetId="15" r:id="rId3"/>
    <sheet name="Pivot Table Group" sheetId="12" r:id="rId4"/>
    <sheet name="Report" sheetId="3" r:id="rId5"/>
    <sheet name="Pivot Table Year" sheetId="13" r:id="rId6"/>
  </sheets>
  <definedNames>
    <definedName name="Slicer_Group">#N/A</definedName>
    <definedName name="Slicer_Year">#N/A</definedName>
    <definedName name="Slicer_Year1">#N/A</definedName>
    <definedName name="Slicer_Year2">#N/A</definedName>
    <definedName name="Slicer_Year3">#N/A</definedName>
  </definedNames>
  <calcPr calcId="0"/>
  <pivotCaches>
    <pivotCache cacheId="20" r:id="rId7"/>
    <pivotCache cacheId="21" r:id="rId8"/>
    <pivotCache cacheId="22" r:id="rId9"/>
    <pivotCache cacheId="23" r:id="rId10"/>
    <pivotCache cacheId="2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<sst xmlns="http://schemas.openxmlformats.org/spreadsheetml/2006/main" count="108" uniqueCount="61">
  <si>
    <t>Row Labels</t>
  </si>
  <si>
    <t>Sum of 2025</t>
  </si>
  <si>
    <t>Sum of 2024</t>
  </si>
  <si>
    <t>Sum of 2023</t>
  </si>
  <si>
    <t>Sum of 2022</t>
  </si>
  <si>
    <t>Sum of 2021</t>
  </si>
  <si>
    <t>Efficiency Ratios</t>
  </si>
  <si>
    <t>Liquidity Ratios</t>
  </si>
  <si>
    <t xml:space="preserve">Profitability Ratios </t>
  </si>
  <si>
    <t>Solvency Ratios</t>
  </si>
  <si>
    <t>Grand Total</t>
  </si>
  <si>
    <t>Debtors Turnover Ratio</t>
  </si>
  <si>
    <t>Fixed Assets Turnover Ratio</t>
  </si>
  <si>
    <t>Inventory Turnover Ratio</t>
  </si>
  <si>
    <t>Total Asset Turnover Ratio</t>
  </si>
  <si>
    <t>Finance &gt;&gt;Key Financial Ratios (Standalone)&gt;&gt;Sun Pharmaceutical Industries Ltd(Curr. Rs in )</t>
  </si>
  <si>
    <t>Group</t>
  </si>
  <si>
    <t>Year</t>
  </si>
  <si>
    <t>Debt-Equity Ratio</t>
  </si>
  <si>
    <t>Long Term Debt-Equity Ratio</t>
  </si>
  <si>
    <t>Current Ratio</t>
  </si>
  <si>
    <t>Interest Cover Ratio</t>
  </si>
  <si>
    <t>PBIDTM (%)</t>
  </si>
  <si>
    <t>PBITM (%)</t>
  </si>
  <si>
    <t>PBDTM (%)</t>
  </si>
  <si>
    <t>ROCE (%)</t>
  </si>
  <si>
    <t>RONW (%)</t>
  </si>
  <si>
    <t>PBIDT/Sales(%)</t>
  </si>
  <si>
    <t>Sales/Net Assets</t>
  </si>
  <si>
    <t>PBDIT/Net Assets</t>
  </si>
  <si>
    <t>PAT/PBIDT(%)</t>
  </si>
  <si>
    <t>Net Assets/Net Worth</t>
  </si>
  <si>
    <t>ROE(%)</t>
  </si>
  <si>
    <t xml:space="preserve">Financials </t>
  </si>
  <si>
    <t>Dupont Analysis Of Sun Pharmaceutical Ltd From Year 2020 to 2025</t>
  </si>
  <si>
    <t>Ratio Analysis Of Sun Pharmaceuticals Ltd From Year 2020 to 2025</t>
  </si>
  <si>
    <t>Sales/Net Assets Ratio</t>
  </si>
  <si>
    <t xml:space="preserve"> PBIDT/Sales(%) Ratio</t>
  </si>
  <si>
    <t>PBDIT/Net Assets Ratios</t>
  </si>
  <si>
    <t xml:space="preserve"> PAT/PBIDT(%) Ratio</t>
  </si>
  <si>
    <t xml:space="preserve"> Net Assets/Net Worth Ratio</t>
  </si>
  <si>
    <t xml:space="preserve"> ROE(%) Ratio</t>
  </si>
  <si>
    <t>Debt-Equity Ratios</t>
  </si>
  <si>
    <t xml:space="preserve"> Long Term Debt-Equity Ratios</t>
  </si>
  <si>
    <t>Current Ratios</t>
  </si>
  <si>
    <t xml:space="preserve"> Fixed Assets Turnover Ratios</t>
  </si>
  <si>
    <t>Inventory Turnover Ratios</t>
  </si>
  <si>
    <t xml:space="preserve"> Debtors Turnover Ratios</t>
  </si>
  <si>
    <t xml:space="preserve"> Total Asset Turnover Ratios</t>
  </si>
  <si>
    <t xml:space="preserve"> Interest Cover Ratios</t>
  </si>
  <si>
    <t xml:space="preserve"> PBIDTM (%) Ratios</t>
  </si>
  <si>
    <t>PBITM (%) Ratios</t>
  </si>
  <si>
    <t>PBDTM (%) Ratios</t>
  </si>
  <si>
    <t>ROCE (%) Ratios</t>
  </si>
  <si>
    <t xml:space="preserve"> RONW (%) Ratios</t>
  </si>
  <si>
    <t xml:space="preserve">  2025</t>
  </si>
  <si>
    <t xml:space="preserve"> 2024</t>
  </si>
  <si>
    <t xml:space="preserve"> 2023</t>
  </si>
  <si>
    <t xml:space="preserve"> 2022</t>
  </si>
  <si>
    <t xml:space="preserve">  2021 </t>
  </si>
  <si>
    <t xml:space="preserv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</si>
</sst>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rgb="FF000000"/>
      <name val="Arial Narrow"/>
      <family val="2"/>
    </font>
    <font>
      <sz val="11"/>
      <color theme="1"/>
      <name val="Arial Narrow"/>
      <family val="2"/>
    </font>
    <font>
      <sz val="18"/>
      <color theme="3"/>
      <name val="Calibri Light"/>
      <family val="2"/>
      <scheme val="major"/>
    </font>
    <font>
      <b/>
      <sz val="15"/>
      <color theme="3"/>
      <name val="Arial Narrow"/>
      <family val="2"/>
    </font>
    <font>
      <b/>
      <sz val="13"/>
      <color theme="3"/>
      <name val="Arial Narrow"/>
      <family val="2"/>
    </font>
    <font>
      <b/>
      <sz val="11"/>
      <color theme="3"/>
      <name val="Arial Narrow"/>
      <family val="2"/>
    </font>
    <font>
      <sz val="11"/>
      <color rgb="FF006100"/>
      <name val="Arial Narrow"/>
      <family val="2"/>
    </font>
    <font>
      <sz val="11"/>
      <color rgb="FF9C0006"/>
      <name val="Arial Narrow"/>
      <family val="2"/>
    </font>
    <font>
      <sz val="11"/>
      <color rgb="FF9C5700"/>
      <name val="Arial Narrow"/>
      <family val="2"/>
    </font>
    <font>
      <sz val="11"/>
      <color rgb="FF3F3F76"/>
      <name val="Arial Narrow"/>
      <family val="2"/>
    </font>
    <font>
      <b/>
      <sz val="11"/>
      <color rgb="FF3F3F3F"/>
      <name val="Arial Narrow"/>
      <family val="2"/>
    </font>
    <font>
      <b/>
      <sz val="11"/>
      <color rgb="FFFA7D00"/>
      <name val="Arial Narrow"/>
      <family val="2"/>
    </font>
    <font>
      <sz val="11"/>
      <color rgb="FFFA7D00"/>
      <name val="Arial Narrow"/>
      <family val="2"/>
    </font>
    <font>
      <b/>
      <sz val="11"/>
      <color theme="0"/>
      <name val="Arial Narrow"/>
      <family val="2"/>
    </font>
    <font>
      <sz val="11"/>
      <color rgb="FFFF0000"/>
      <name val="Arial Narrow"/>
      <family val="2"/>
    </font>
    <font>
      <i/>
      <sz val="11"/>
      <color rgb="FF7F7F7F"/>
      <name val="Arial Narrow"/>
      <family val="2"/>
    </font>
    <font>
      <b/>
      <sz val="11"/>
      <color theme="1"/>
      <name val="Arial Narrow"/>
      <family val="2"/>
    </font>
    <font>
      <sz val="11"/>
      <color theme="0"/>
      <name val="Arial Narrow"/>
      <family val="2"/>
    </font>
    <font>
      <b/>
      <sz val="11"/>
      <color rgb="FF000000"/>
      <name val="Arial Narrow"/>
      <family val="2"/>
    </font>
    <font>
      <b/>
      <sz val="10"/>
      <color rgb="FF000000"/>
      <name val="Arial Unicode MS"/>
    </font>
    <font>
      <sz val="10"/>
      <color rgb="FF000000"/>
      <name val="Arial Unicode MS"/>
    </font>
    <font>
      <sz val="20"/>
      <color rgb="FF000000"/>
      <name val="Comic Sans MS"/>
      <family val="4"/>
    </font>
    <font>
      <sz val="11"/>
      <color rgb="FF000000"/>
      <name val="Comic Sans MS"/>
      <family val="4"/>
    </font>
    <font>
      <sz val="18"/>
      <color rgb="FF000000"/>
      <name val="Comic Sans MS"/>
      <family val="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0" xfId="0" applyAlignment="1">
      <alignment horizontal="left"/>
    </xf>
    <xf numFmtId="0" fontId="0" fillId="0" borderId="0" xfId="0" applyAlignment="1">
      <alignment horizontal="left" indent="1"/>
    </xf>
    <xf numFmtId="0" fontId="0" fillId="0" borderId="13" xfId="0" applyBorder="1"/>
    <xf numFmtId="0" fontId="0" fillId="0" borderId="14" xfId="0" applyBorder="1"/>
    <xf numFmtId="0" fontId="18" fillId="0" borderId="14" xfId="0" applyFont="1" applyBorder="1"/>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7" xfId="0" applyFont="1" applyBorder="1" applyAlignment="1">
      <alignment vertical="center"/>
    </xf>
    <xf numFmtId="0" fontId="20" fillId="0" borderId="15" xfId="0" applyFont="1" applyBorder="1" applyAlignment="1">
      <alignment wrapText="1"/>
    </xf>
    <xf numFmtId="0" fontId="18" fillId="0" borderId="17" xfId="0" applyFont="1" applyBorder="1" applyAlignment="1">
      <alignment horizontal="left"/>
    </xf>
    <xf numFmtId="0" fontId="18" fillId="0" borderId="17" xfId="0" applyFont="1" applyBorder="1" applyAlignment="1">
      <alignment vertical="center" wrapText="1"/>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0" xfId="0" pivotButton="1"/>
    <xf numFmtId="0" fontId="19" fillId="0" borderId="27" xfId="0" applyFont="1" applyBorder="1" applyAlignment="1">
      <alignment horizontal="center" vertical="center" wrapText="1"/>
    </xf>
    <xf numFmtId="0" fontId="20" fillId="0" borderId="27" xfId="0" applyFont="1" applyBorder="1" applyAlignment="1">
      <alignment wrapText="1"/>
    </xf>
    <xf numFmtId="0" fontId="19" fillId="0" borderId="28" xfId="0" applyFont="1" applyBorder="1" applyAlignment="1">
      <alignment horizontal="center" vertical="center" wrapText="1"/>
    </xf>
    <xf numFmtId="0" fontId="20" fillId="0" borderId="28" xfId="0" applyFont="1" applyBorder="1" applyAlignment="1">
      <alignment wrapText="1"/>
    </xf>
    <xf numFmtId="0" fontId="19" fillId="0" borderId="29" xfId="0" applyFont="1" applyBorder="1" applyAlignment="1">
      <alignment horizontal="center" vertical="center" wrapText="1"/>
    </xf>
    <xf numFmtId="4" fontId="20" fillId="0" borderId="28" xfId="0" applyNumberFormat="1" applyFont="1" applyBorder="1" applyAlignment="1">
      <alignment wrapText="1"/>
    </xf>
    <xf numFmtId="0" fontId="19" fillId="0" borderId="14" xfId="0" applyFont="1" applyBorder="1" applyAlignment="1">
      <alignment horizontal="center" vertical="center" wrapText="1"/>
    </xf>
    <xf numFmtId="0" fontId="20" fillId="0" borderId="14" xfId="0" applyFont="1" applyBorder="1" applyAlignment="1">
      <alignment wrapText="1"/>
    </xf>
    <xf numFmtId="0" fontId="21" fillId="33" borderId="0" xfId="0" applyFont="1" applyFill="1" applyAlignment="1">
      <alignment horizontal="center"/>
    </xf>
    <xf numFmtId="0" fontId="0" fillId="33" borderId="0" xfId="0" applyFill="1" applyAlignment="1">
      <alignment horizontal="center"/>
    </xf>
    <xf numFmtId="0" fontId="18" fillId="0" borderId="30" xfId="0" applyFont="1" applyBorder="1" applyAlignment="1">
      <alignment horizontal="center"/>
    </xf>
    <xf numFmtId="0" fontId="18" fillId="0" borderId="31" xfId="0" applyFont="1" applyBorder="1" applyAlignment="1">
      <alignment horizontal="center"/>
    </xf>
    <xf numFmtId="0" fontId="18" fillId="0" borderId="16" xfId="0" applyFont="1" applyBorder="1" applyAlignment="1">
      <alignment horizontal="center"/>
    </xf>
    <xf numFmtId="0" fontId="23" fillId="33" borderId="0" xfId="0" applyFont="1" applyFill="1" applyAlignment="1">
      <alignment horizontal="center"/>
    </xf>
    <xf numFmtId="0" fontId="22" fillId="33" borderId="0" xfId="0" applyFont="1" applyFill="1" applyAlignment="1">
      <alignment horizontal="center"/>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KeyFinRatios_.xlsx]Pivot Table Group!PivotTable7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Group'!$B$3</c:f>
              <c:strCache>
                <c:ptCount val="1"/>
                <c:pt idx="0">
                  <c:v>  2025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Group'!$A$4:$A$6</c:f>
              <c:multiLvlStrCache>
                <c:ptCount val="1"/>
                <c:lvl>
                  <c:pt idx="0">
                    <c:v>Current Ratio</c:v>
                  </c:pt>
                </c:lvl>
                <c:lvl>
                  <c:pt idx="0">
                    <c:v>Liquidity Ratios</c:v>
                  </c:pt>
                </c:lvl>
              </c:multiLvlStrCache>
            </c:multiLvlStrRef>
          </c:cat>
          <c:val>
            <c:numRef>
              <c:f>'Pivot Table Group'!$B$4:$B$6</c:f>
              <c:numCache>
                <c:formatCode>General</c:formatCode>
                <c:ptCount val="1"/>
                <c:pt idx="0">
                  <c:v>1.54</c:v>
                </c:pt>
              </c:numCache>
            </c:numRef>
          </c:val>
          <c:extLst>
            <c:ext xmlns:c16="http://schemas.microsoft.com/office/drawing/2014/chart" uri="{C3380CC4-5D6E-409C-BE32-E72D297353CC}">
              <c16:uniqueId val="{00000000-26CA-43FC-8C7B-BF7CD34658A5}"/>
            </c:ext>
          </c:extLst>
        </c:ser>
        <c:ser>
          <c:idx val="1"/>
          <c:order val="1"/>
          <c:tx>
            <c:strRef>
              <c:f>'Pivot Table Group'!$C$3</c:f>
              <c:strCache>
                <c:ptCount val="1"/>
                <c:pt idx="0">
                  <c:v> 2024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Group'!$A$4:$A$6</c:f>
              <c:multiLvlStrCache>
                <c:ptCount val="1"/>
                <c:lvl>
                  <c:pt idx="0">
                    <c:v>Current Ratio</c:v>
                  </c:pt>
                </c:lvl>
                <c:lvl>
                  <c:pt idx="0">
                    <c:v>Liquidity Ratios</c:v>
                  </c:pt>
                </c:lvl>
              </c:multiLvlStrCache>
            </c:multiLvlStrRef>
          </c:cat>
          <c:val>
            <c:numRef>
              <c:f>'Pivot Table Group'!$C$4:$C$6</c:f>
              <c:numCache>
                <c:formatCode>General</c:formatCode>
                <c:ptCount val="1"/>
                <c:pt idx="0">
                  <c:v>2.39</c:v>
                </c:pt>
              </c:numCache>
            </c:numRef>
          </c:val>
          <c:extLst>
            <c:ext xmlns:c16="http://schemas.microsoft.com/office/drawing/2014/chart" uri="{C3380CC4-5D6E-409C-BE32-E72D297353CC}">
              <c16:uniqueId val="{00000001-26CA-43FC-8C7B-BF7CD34658A5}"/>
            </c:ext>
          </c:extLst>
        </c:ser>
        <c:ser>
          <c:idx val="2"/>
          <c:order val="2"/>
          <c:tx>
            <c:strRef>
              <c:f>'Pivot Table Group'!$D$3</c:f>
              <c:strCache>
                <c:ptCount val="1"/>
                <c:pt idx="0">
                  <c:v> 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Group'!$A$4:$A$6</c:f>
              <c:multiLvlStrCache>
                <c:ptCount val="1"/>
                <c:lvl>
                  <c:pt idx="0">
                    <c:v>Current Ratio</c:v>
                  </c:pt>
                </c:lvl>
                <c:lvl>
                  <c:pt idx="0">
                    <c:v>Liquidity Ratios</c:v>
                  </c:pt>
                </c:lvl>
              </c:multiLvlStrCache>
            </c:multiLvlStrRef>
          </c:cat>
          <c:val>
            <c:numRef>
              <c:f>'Pivot Table Group'!$D$4:$D$6</c:f>
              <c:numCache>
                <c:formatCode>General</c:formatCode>
                <c:ptCount val="1"/>
                <c:pt idx="0">
                  <c:v>1.42</c:v>
                </c:pt>
              </c:numCache>
            </c:numRef>
          </c:val>
          <c:extLst>
            <c:ext xmlns:c16="http://schemas.microsoft.com/office/drawing/2014/chart" uri="{C3380CC4-5D6E-409C-BE32-E72D297353CC}">
              <c16:uniqueId val="{00000002-26CA-43FC-8C7B-BF7CD34658A5}"/>
            </c:ext>
          </c:extLst>
        </c:ser>
        <c:ser>
          <c:idx val="3"/>
          <c:order val="3"/>
          <c:tx>
            <c:strRef>
              <c:f>'Pivot Table Group'!$E$3</c:f>
              <c:strCache>
                <c:ptCount val="1"/>
                <c:pt idx="0">
                  <c:v> 2022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Group'!$A$4:$A$6</c:f>
              <c:multiLvlStrCache>
                <c:ptCount val="1"/>
                <c:lvl>
                  <c:pt idx="0">
                    <c:v>Current Ratio</c:v>
                  </c:pt>
                </c:lvl>
                <c:lvl>
                  <c:pt idx="0">
                    <c:v>Liquidity Ratios</c:v>
                  </c:pt>
                </c:lvl>
              </c:multiLvlStrCache>
            </c:multiLvlStrRef>
          </c:cat>
          <c:val>
            <c:numRef>
              <c:f>'Pivot Table Group'!$E$4:$E$6</c:f>
              <c:numCache>
                <c:formatCode>General</c:formatCode>
                <c:ptCount val="1"/>
                <c:pt idx="0">
                  <c:v>1.18</c:v>
                </c:pt>
              </c:numCache>
            </c:numRef>
          </c:val>
          <c:extLst>
            <c:ext xmlns:c16="http://schemas.microsoft.com/office/drawing/2014/chart" uri="{C3380CC4-5D6E-409C-BE32-E72D297353CC}">
              <c16:uniqueId val="{00000003-26CA-43FC-8C7B-BF7CD34658A5}"/>
            </c:ext>
          </c:extLst>
        </c:ser>
        <c:ser>
          <c:idx val="4"/>
          <c:order val="4"/>
          <c:tx>
            <c:strRef>
              <c:f>'Pivot Table Group'!$F$3</c:f>
              <c:strCache>
                <c:ptCount val="1"/>
                <c:pt idx="0">
                  <c:v>  2021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Group'!$A$4:$A$6</c:f>
              <c:multiLvlStrCache>
                <c:ptCount val="1"/>
                <c:lvl>
                  <c:pt idx="0">
                    <c:v>Current Ratio</c:v>
                  </c:pt>
                </c:lvl>
                <c:lvl>
                  <c:pt idx="0">
                    <c:v>Liquidity Ratios</c:v>
                  </c:pt>
                </c:lvl>
              </c:multiLvlStrCache>
            </c:multiLvlStrRef>
          </c:cat>
          <c:val>
            <c:numRef>
              <c:f>'Pivot Table Group'!$F$4:$F$6</c:f>
              <c:numCache>
                <c:formatCode>General</c:formatCode>
                <c:ptCount val="1"/>
                <c:pt idx="0">
                  <c:v>1.25</c:v>
                </c:pt>
              </c:numCache>
            </c:numRef>
          </c:val>
          <c:extLst>
            <c:ext xmlns:c16="http://schemas.microsoft.com/office/drawing/2014/chart" uri="{C3380CC4-5D6E-409C-BE32-E72D297353CC}">
              <c16:uniqueId val="{00000004-26CA-43FC-8C7B-BF7CD34658A5}"/>
            </c:ext>
          </c:extLst>
        </c:ser>
        <c:ser>
          <c:idx val="5"/>
          <c:order val="5"/>
          <c:tx>
            <c:strRef>
              <c:f>'Pivot Table Group'!$G$3</c:f>
              <c:strCache>
                <c:ptCount val="1"/>
                <c:pt idx="0">
                  <c:v> 2020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Group'!$A$4:$A$6</c:f>
              <c:multiLvlStrCache>
                <c:ptCount val="1"/>
                <c:lvl>
                  <c:pt idx="0">
                    <c:v>Current Ratio</c:v>
                  </c:pt>
                </c:lvl>
                <c:lvl>
                  <c:pt idx="0">
                    <c:v>Liquidity Ratios</c:v>
                  </c:pt>
                </c:lvl>
              </c:multiLvlStrCache>
            </c:multiLvlStrRef>
          </c:cat>
          <c:val>
            <c:numRef>
              <c:f>'Pivot Table Group'!$G$4:$G$6</c:f>
              <c:numCache>
                <c:formatCode>General</c:formatCode>
                <c:ptCount val="1"/>
                <c:pt idx="0">
                  <c:v>1</c:v>
                </c:pt>
              </c:numCache>
            </c:numRef>
          </c:val>
          <c:extLst>
            <c:ext xmlns:c16="http://schemas.microsoft.com/office/drawing/2014/chart" uri="{C3380CC4-5D6E-409C-BE32-E72D297353CC}">
              <c16:uniqueId val="{00000000-A0A8-4905-A92C-64CD9881BFB5}"/>
            </c:ext>
          </c:extLst>
        </c:ser>
        <c:dLbls>
          <c:dLblPos val="ctr"/>
          <c:showLegendKey val="0"/>
          <c:showVal val="1"/>
          <c:showCatName val="0"/>
          <c:showSerName val="0"/>
          <c:showPercent val="0"/>
          <c:showBubbleSize val="0"/>
        </c:dLbls>
        <c:gapWidth val="150"/>
        <c:overlap val="100"/>
        <c:axId val="921978591"/>
        <c:axId val="921979071"/>
      </c:barChart>
      <c:catAx>
        <c:axId val="921978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979071"/>
        <c:crosses val="autoZero"/>
        <c:auto val="1"/>
        <c:lblAlgn val="ctr"/>
        <c:lblOffset val="100"/>
        <c:noMultiLvlLbl val="0"/>
      </c:catAx>
      <c:valAx>
        <c:axId val="9219790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97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KeyFinRatios_.xlsx]Pivot Table Year!PivotTable9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Year'!$K$16</c:f>
              <c:strCache>
                <c:ptCount val="1"/>
                <c:pt idx="0">
                  <c:v>Debt-Equity Ratios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Year'!$K$17:$K$18</c:f>
              <c:numCache>
                <c:formatCode>General</c:formatCode>
                <c:ptCount val="1"/>
                <c:pt idx="0">
                  <c:v>0.27</c:v>
                </c:pt>
              </c:numCache>
            </c:numRef>
          </c:val>
          <c:extLst>
            <c:ext xmlns:c16="http://schemas.microsoft.com/office/drawing/2014/chart" uri="{C3380CC4-5D6E-409C-BE32-E72D297353CC}">
              <c16:uniqueId val="{00000000-B902-41A5-807D-4C413EE4B0F5}"/>
            </c:ext>
          </c:extLst>
        </c:ser>
        <c:ser>
          <c:idx val="1"/>
          <c:order val="1"/>
          <c:tx>
            <c:strRef>
              <c:f>'Pivot Table Year'!$L$16</c:f>
              <c:strCache>
                <c:ptCount val="1"/>
                <c:pt idx="0">
                  <c:v> Long Term Debt-Equity Ratios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Year'!$L$17:$L$18</c:f>
              <c:numCache>
                <c:formatCode>General</c:formatCode>
                <c:ptCount val="1"/>
                <c:pt idx="0">
                  <c:v>0.06</c:v>
                </c:pt>
              </c:numCache>
            </c:numRef>
          </c:val>
          <c:extLst>
            <c:ext xmlns:c16="http://schemas.microsoft.com/office/drawing/2014/chart" uri="{C3380CC4-5D6E-409C-BE32-E72D297353CC}">
              <c16:uniqueId val="{00000001-B902-41A5-807D-4C413EE4B0F5}"/>
            </c:ext>
          </c:extLst>
        </c:ser>
        <c:ser>
          <c:idx val="2"/>
          <c:order val="2"/>
          <c:tx>
            <c:strRef>
              <c:f>'Pivot Table Year'!$M$16</c:f>
              <c:strCache>
                <c:ptCount val="1"/>
                <c:pt idx="0">
                  <c:v>Current Ratios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Year'!$M$17:$M$18</c:f>
              <c:numCache>
                <c:formatCode>General</c:formatCode>
                <c:ptCount val="1"/>
                <c:pt idx="0">
                  <c:v>1</c:v>
                </c:pt>
              </c:numCache>
            </c:numRef>
          </c:val>
          <c:extLst>
            <c:ext xmlns:c16="http://schemas.microsoft.com/office/drawing/2014/chart" uri="{C3380CC4-5D6E-409C-BE32-E72D297353CC}">
              <c16:uniqueId val="{00000002-B902-41A5-807D-4C413EE4B0F5}"/>
            </c:ext>
          </c:extLst>
        </c:ser>
        <c:ser>
          <c:idx val="3"/>
          <c:order val="3"/>
          <c:tx>
            <c:strRef>
              <c:f>'Pivot Table Year'!$N$16</c:f>
              <c:strCache>
                <c:ptCount val="1"/>
                <c:pt idx="0">
                  <c:v> Fixed Assets Turnover Ratios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Year'!$N$17:$N$18</c:f>
              <c:numCache>
                <c:formatCode>General</c:formatCode>
                <c:ptCount val="1"/>
                <c:pt idx="0">
                  <c:v>1.6</c:v>
                </c:pt>
              </c:numCache>
            </c:numRef>
          </c:val>
          <c:extLst>
            <c:ext xmlns:c16="http://schemas.microsoft.com/office/drawing/2014/chart" uri="{C3380CC4-5D6E-409C-BE32-E72D297353CC}">
              <c16:uniqueId val="{00000003-B902-41A5-807D-4C413EE4B0F5}"/>
            </c:ext>
          </c:extLst>
        </c:ser>
        <c:ser>
          <c:idx val="4"/>
          <c:order val="4"/>
          <c:tx>
            <c:strRef>
              <c:f>'Pivot Table Year'!$O$16</c:f>
              <c:strCache>
                <c:ptCount val="1"/>
                <c:pt idx="0">
                  <c:v>Inventory Turnover Ratios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Year'!$O$17:$O$18</c:f>
              <c:numCache>
                <c:formatCode>General</c:formatCode>
                <c:ptCount val="1"/>
                <c:pt idx="0">
                  <c:v>4.62</c:v>
                </c:pt>
              </c:numCache>
            </c:numRef>
          </c:val>
          <c:extLst>
            <c:ext xmlns:c16="http://schemas.microsoft.com/office/drawing/2014/chart" uri="{C3380CC4-5D6E-409C-BE32-E72D297353CC}">
              <c16:uniqueId val="{00000004-B902-41A5-807D-4C413EE4B0F5}"/>
            </c:ext>
          </c:extLst>
        </c:ser>
        <c:ser>
          <c:idx val="5"/>
          <c:order val="5"/>
          <c:tx>
            <c:strRef>
              <c:f>'Pivot Table Year'!$P$16</c:f>
              <c:strCache>
                <c:ptCount val="1"/>
                <c:pt idx="0">
                  <c:v> Debtors Turnover Ratios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Year'!$P$17:$P$18</c:f>
              <c:numCache>
                <c:formatCode>General</c:formatCode>
                <c:ptCount val="1"/>
                <c:pt idx="0">
                  <c:v>2.2400000000000002</c:v>
                </c:pt>
              </c:numCache>
            </c:numRef>
          </c:val>
          <c:extLst>
            <c:ext xmlns:c16="http://schemas.microsoft.com/office/drawing/2014/chart" uri="{C3380CC4-5D6E-409C-BE32-E72D297353CC}">
              <c16:uniqueId val="{00000005-B902-41A5-807D-4C413EE4B0F5}"/>
            </c:ext>
          </c:extLst>
        </c:ser>
        <c:ser>
          <c:idx val="6"/>
          <c:order val="6"/>
          <c:tx>
            <c:strRef>
              <c:f>'Pivot Table Year'!$Q$16</c:f>
              <c:strCache>
                <c:ptCount val="1"/>
                <c:pt idx="0">
                  <c:v> Total Asset Turnover Ratios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Year'!$Q$17:$Q$18</c:f>
              <c:numCache>
                <c:formatCode>General</c:formatCode>
                <c:ptCount val="1"/>
                <c:pt idx="0">
                  <c:v>0.41</c:v>
                </c:pt>
              </c:numCache>
            </c:numRef>
          </c:val>
          <c:extLst>
            <c:ext xmlns:c16="http://schemas.microsoft.com/office/drawing/2014/chart" uri="{C3380CC4-5D6E-409C-BE32-E72D297353CC}">
              <c16:uniqueId val="{00000006-B902-41A5-807D-4C413EE4B0F5}"/>
            </c:ext>
          </c:extLst>
        </c:ser>
        <c:ser>
          <c:idx val="7"/>
          <c:order val="7"/>
          <c:tx>
            <c:strRef>
              <c:f>'Pivot Table Year'!$R$16</c:f>
              <c:strCache>
                <c:ptCount val="1"/>
                <c:pt idx="0">
                  <c:v> Interest Cover Ratios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Year'!$R$17:$R$18</c:f>
              <c:numCache>
                <c:formatCode>General</c:formatCode>
                <c:ptCount val="1"/>
                <c:pt idx="0">
                  <c:v>8.9700000000000006</c:v>
                </c:pt>
              </c:numCache>
            </c:numRef>
          </c:val>
          <c:extLst>
            <c:ext xmlns:c16="http://schemas.microsoft.com/office/drawing/2014/chart" uri="{C3380CC4-5D6E-409C-BE32-E72D297353CC}">
              <c16:uniqueId val="{00000007-B902-41A5-807D-4C413EE4B0F5}"/>
            </c:ext>
          </c:extLst>
        </c:ser>
        <c:ser>
          <c:idx val="8"/>
          <c:order val="8"/>
          <c:tx>
            <c:strRef>
              <c:f>'Pivot Table Year'!$S$16</c:f>
              <c:strCache>
                <c:ptCount val="1"/>
                <c:pt idx="0">
                  <c:v> PBIDTM (%) Ratios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Year'!$S$17:$S$18</c:f>
              <c:numCache>
                <c:formatCode>General</c:formatCode>
                <c:ptCount val="1"/>
                <c:pt idx="0">
                  <c:v>33.69</c:v>
                </c:pt>
              </c:numCache>
            </c:numRef>
          </c:val>
          <c:extLst>
            <c:ext xmlns:c16="http://schemas.microsoft.com/office/drawing/2014/chart" uri="{C3380CC4-5D6E-409C-BE32-E72D297353CC}">
              <c16:uniqueId val="{00000008-B902-41A5-807D-4C413EE4B0F5}"/>
            </c:ext>
          </c:extLst>
        </c:ser>
        <c:ser>
          <c:idx val="9"/>
          <c:order val="9"/>
          <c:tx>
            <c:strRef>
              <c:f>'Pivot Table Year'!$T$16</c:f>
              <c:strCache>
                <c:ptCount val="1"/>
                <c:pt idx="0">
                  <c:v>PBITM (%) Ratios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Year'!$T$17:$T$18</c:f>
              <c:numCache>
                <c:formatCode>General</c:formatCode>
                <c:ptCount val="1"/>
                <c:pt idx="0">
                  <c:v>29.21</c:v>
                </c:pt>
              </c:numCache>
            </c:numRef>
          </c:val>
          <c:extLst>
            <c:ext xmlns:c16="http://schemas.microsoft.com/office/drawing/2014/chart" uri="{C3380CC4-5D6E-409C-BE32-E72D297353CC}">
              <c16:uniqueId val="{00000009-B902-41A5-807D-4C413EE4B0F5}"/>
            </c:ext>
          </c:extLst>
        </c:ser>
        <c:ser>
          <c:idx val="10"/>
          <c:order val="10"/>
          <c:tx>
            <c:strRef>
              <c:f>'Pivot Table Year'!$U$16</c:f>
              <c:strCache>
                <c:ptCount val="1"/>
                <c:pt idx="0">
                  <c:v>PBDTM (%) Ratios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Year'!$U$17:$U$18</c:f>
              <c:numCache>
                <c:formatCode>General</c:formatCode>
                <c:ptCount val="1"/>
                <c:pt idx="0">
                  <c:v>30.44</c:v>
                </c:pt>
              </c:numCache>
            </c:numRef>
          </c:val>
          <c:extLst>
            <c:ext xmlns:c16="http://schemas.microsoft.com/office/drawing/2014/chart" uri="{C3380CC4-5D6E-409C-BE32-E72D297353CC}">
              <c16:uniqueId val="{0000000A-B902-41A5-807D-4C413EE4B0F5}"/>
            </c:ext>
          </c:extLst>
        </c:ser>
        <c:ser>
          <c:idx val="11"/>
          <c:order val="11"/>
          <c:tx>
            <c:strRef>
              <c:f>'Pivot Table Year'!$V$16</c:f>
              <c:strCache>
                <c:ptCount val="1"/>
                <c:pt idx="0">
                  <c:v>ROCE (%) Ratios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Year'!$V$17:$V$18</c:f>
              <c:numCache>
                <c:formatCode>General</c:formatCode>
                <c:ptCount val="1"/>
                <c:pt idx="0">
                  <c:v>11.85</c:v>
                </c:pt>
              </c:numCache>
            </c:numRef>
          </c:val>
          <c:extLst>
            <c:ext xmlns:c16="http://schemas.microsoft.com/office/drawing/2014/chart" uri="{C3380CC4-5D6E-409C-BE32-E72D297353CC}">
              <c16:uniqueId val="{0000000B-B902-41A5-807D-4C413EE4B0F5}"/>
            </c:ext>
          </c:extLst>
        </c:ser>
        <c:ser>
          <c:idx val="12"/>
          <c:order val="12"/>
          <c:tx>
            <c:strRef>
              <c:f>'Pivot Table Year'!$W$16</c:f>
              <c:strCache>
                <c:ptCount val="1"/>
                <c:pt idx="0">
                  <c:v> RONW (%) Ratios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Year'!$J$17:$J$18</c:f>
              <c:strCache>
                <c:ptCount val="1"/>
                <c:pt idx="0">
                  <c:v>2020</c:v>
                </c:pt>
              </c:strCache>
            </c:strRef>
          </c:cat>
          <c:val>
            <c:numRef>
              <c:f>'Pivot Table Year'!$W$17:$W$18</c:f>
              <c:numCache>
                <c:formatCode>General</c:formatCode>
                <c:ptCount val="1"/>
                <c:pt idx="0">
                  <c:v>13.6</c:v>
                </c:pt>
              </c:numCache>
            </c:numRef>
          </c:val>
          <c:extLst>
            <c:ext xmlns:c16="http://schemas.microsoft.com/office/drawing/2014/chart" uri="{C3380CC4-5D6E-409C-BE32-E72D297353CC}">
              <c16:uniqueId val="{0000000C-B902-41A5-807D-4C413EE4B0F5}"/>
            </c:ext>
          </c:extLst>
        </c:ser>
        <c:dLbls>
          <c:showLegendKey val="0"/>
          <c:showVal val="0"/>
          <c:showCatName val="0"/>
          <c:showSerName val="0"/>
          <c:showPercent val="0"/>
          <c:showBubbleSize val="0"/>
        </c:dLbls>
        <c:gapWidth val="150"/>
        <c:shape val="box"/>
        <c:axId val="630702991"/>
        <c:axId val="630702511"/>
        <c:axId val="0"/>
      </c:bar3DChart>
      <c:catAx>
        <c:axId val="63070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702511"/>
        <c:crosses val="autoZero"/>
        <c:auto val="1"/>
        <c:lblAlgn val="ctr"/>
        <c:lblOffset val="100"/>
        <c:noMultiLvlLbl val="0"/>
      </c:catAx>
      <c:valAx>
        <c:axId val="6307025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702991"/>
        <c:crosses val="autoZero"/>
        <c:crossBetween val="between"/>
      </c:valAx>
      <c:spPr>
        <a:noFill/>
        <a:ln>
          <a:noFill/>
        </a:ln>
        <a:effectLst/>
      </c:spPr>
    </c:plotArea>
    <c:legend>
      <c:legendPos val="r"/>
      <c:layout>
        <c:manualLayout>
          <c:xMode val="edge"/>
          <c:yMode val="edge"/>
          <c:x val="0.64722222222222225"/>
          <c:y val="0.1842461358996792"/>
          <c:w val="0.33333333333333331"/>
          <c:h val="0.7233376676539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KeyFinRatios_.xlsx]Dupont!PivotTable10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Dupont!$D$16</c:f>
              <c:strCache>
                <c:ptCount val="1"/>
                <c:pt idx="0">
                  <c:v> PBIDT/Sales(%) Ratio</c:v>
                </c:pt>
              </c:strCache>
            </c:strRef>
          </c:tx>
          <c:spPr>
            <a:solidFill>
              <a:schemeClr val="accent1"/>
            </a:solidFill>
            <a:ln>
              <a:noFill/>
            </a:ln>
            <a:effectLst/>
          </c:spPr>
          <c:invertIfNegative val="0"/>
          <c:cat>
            <c:strRef>
              <c:f>Dupont!$C$17:$C$18</c:f>
              <c:strCache>
                <c:ptCount val="1"/>
                <c:pt idx="0">
                  <c:v>2020</c:v>
                </c:pt>
              </c:strCache>
            </c:strRef>
          </c:cat>
          <c:val>
            <c:numRef>
              <c:f>Dupont!$D$17:$D$18</c:f>
              <c:numCache>
                <c:formatCode>General</c:formatCode>
                <c:ptCount val="1"/>
                <c:pt idx="0">
                  <c:v>33.69</c:v>
                </c:pt>
              </c:numCache>
            </c:numRef>
          </c:val>
          <c:extLst>
            <c:ext xmlns:c16="http://schemas.microsoft.com/office/drawing/2014/chart" uri="{C3380CC4-5D6E-409C-BE32-E72D297353CC}">
              <c16:uniqueId val="{00000000-412C-499A-AA3E-33A5A61A5A0B}"/>
            </c:ext>
          </c:extLst>
        </c:ser>
        <c:ser>
          <c:idx val="1"/>
          <c:order val="1"/>
          <c:tx>
            <c:strRef>
              <c:f>Dupont!$E$16</c:f>
              <c:strCache>
                <c:ptCount val="1"/>
                <c:pt idx="0">
                  <c:v>Sales/Net Assets Ratio</c:v>
                </c:pt>
              </c:strCache>
            </c:strRef>
          </c:tx>
          <c:spPr>
            <a:solidFill>
              <a:schemeClr val="accent2"/>
            </a:solidFill>
            <a:ln>
              <a:noFill/>
            </a:ln>
            <a:effectLst/>
          </c:spPr>
          <c:invertIfNegative val="0"/>
          <c:cat>
            <c:strRef>
              <c:f>Dupont!$C$17:$C$18</c:f>
              <c:strCache>
                <c:ptCount val="1"/>
                <c:pt idx="0">
                  <c:v>2020</c:v>
                </c:pt>
              </c:strCache>
            </c:strRef>
          </c:cat>
          <c:val>
            <c:numRef>
              <c:f>Dupont!$E$17:$E$18</c:f>
              <c:numCache>
                <c:formatCode>General</c:formatCode>
                <c:ptCount val="1"/>
                <c:pt idx="0">
                  <c:v>0.39</c:v>
                </c:pt>
              </c:numCache>
            </c:numRef>
          </c:val>
          <c:extLst>
            <c:ext xmlns:c16="http://schemas.microsoft.com/office/drawing/2014/chart" uri="{C3380CC4-5D6E-409C-BE32-E72D297353CC}">
              <c16:uniqueId val="{00000001-412C-499A-AA3E-33A5A61A5A0B}"/>
            </c:ext>
          </c:extLst>
        </c:ser>
        <c:ser>
          <c:idx val="2"/>
          <c:order val="2"/>
          <c:tx>
            <c:strRef>
              <c:f>Dupont!$F$16</c:f>
              <c:strCache>
                <c:ptCount val="1"/>
                <c:pt idx="0">
                  <c:v>PBDIT/Net Assets Ratios</c:v>
                </c:pt>
              </c:strCache>
            </c:strRef>
          </c:tx>
          <c:spPr>
            <a:solidFill>
              <a:schemeClr val="accent3"/>
            </a:solidFill>
            <a:ln>
              <a:noFill/>
            </a:ln>
            <a:effectLst/>
          </c:spPr>
          <c:invertIfNegative val="0"/>
          <c:cat>
            <c:strRef>
              <c:f>Dupont!$C$17:$C$18</c:f>
              <c:strCache>
                <c:ptCount val="1"/>
                <c:pt idx="0">
                  <c:v>2020</c:v>
                </c:pt>
              </c:strCache>
            </c:strRef>
          </c:cat>
          <c:val>
            <c:numRef>
              <c:f>Dupont!$F$17:$F$18</c:f>
              <c:numCache>
                <c:formatCode>General</c:formatCode>
                <c:ptCount val="1"/>
                <c:pt idx="0">
                  <c:v>0.13</c:v>
                </c:pt>
              </c:numCache>
            </c:numRef>
          </c:val>
          <c:extLst>
            <c:ext xmlns:c16="http://schemas.microsoft.com/office/drawing/2014/chart" uri="{C3380CC4-5D6E-409C-BE32-E72D297353CC}">
              <c16:uniqueId val="{00000002-412C-499A-AA3E-33A5A61A5A0B}"/>
            </c:ext>
          </c:extLst>
        </c:ser>
        <c:ser>
          <c:idx val="3"/>
          <c:order val="3"/>
          <c:tx>
            <c:strRef>
              <c:f>Dupont!$G$16</c:f>
              <c:strCache>
                <c:ptCount val="1"/>
                <c:pt idx="0">
                  <c:v> PAT/PBIDT(%) Ratio</c:v>
                </c:pt>
              </c:strCache>
            </c:strRef>
          </c:tx>
          <c:spPr>
            <a:solidFill>
              <a:schemeClr val="accent4"/>
            </a:solidFill>
            <a:ln>
              <a:noFill/>
            </a:ln>
            <a:effectLst/>
          </c:spPr>
          <c:invertIfNegative val="0"/>
          <c:cat>
            <c:strRef>
              <c:f>Dupont!$C$17:$C$18</c:f>
              <c:strCache>
                <c:ptCount val="1"/>
                <c:pt idx="0">
                  <c:v>2020</c:v>
                </c:pt>
              </c:strCache>
            </c:strRef>
          </c:cat>
          <c:val>
            <c:numRef>
              <c:f>Dupont!$G$17:$G$18</c:f>
              <c:numCache>
                <c:formatCode>General</c:formatCode>
                <c:ptCount val="1"/>
                <c:pt idx="0">
                  <c:v>76.05</c:v>
                </c:pt>
              </c:numCache>
            </c:numRef>
          </c:val>
          <c:extLst>
            <c:ext xmlns:c16="http://schemas.microsoft.com/office/drawing/2014/chart" uri="{C3380CC4-5D6E-409C-BE32-E72D297353CC}">
              <c16:uniqueId val="{00000003-412C-499A-AA3E-33A5A61A5A0B}"/>
            </c:ext>
          </c:extLst>
        </c:ser>
        <c:ser>
          <c:idx val="4"/>
          <c:order val="4"/>
          <c:tx>
            <c:strRef>
              <c:f>Dupont!$H$16</c:f>
              <c:strCache>
                <c:ptCount val="1"/>
                <c:pt idx="0">
                  <c:v> Net Assets/Net Worth Ratio</c:v>
                </c:pt>
              </c:strCache>
            </c:strRef>
          </c:tx>
          <c:spPr>
            <a:solidFill>
              <a:schemeClr val="accent5"/>
            </a:solidFill>
            <a:ln>
              <a:noFill/>
            </a:ln>
            <a:effectLst/>
          </c:spPr>
          <c:invertIfNegative val="0"/>
          <c:cat>
            <c:strRef>
              <c:f>Dupont!$C$17:$C$18</c:f>
              <c:strCache>
                <c:ptCount val="1"/>
                <c:pt idx="0">
                  <c:v>2020</c:v>
                </c:pt>
              </c:strCache>
            </c:strRef>
          </c:cat>
          <c:val>
            <c:numRef>
              <c:f>Dupont!$H$17:$H$18</c:f>
              <c:numCache>
                <c:formatCode>General</c:formatCode>
                <c:ptCount val="1"/>
                <c:pt idx="0">
                  <c:v>1.33</c:v>
                </c:pt>
              </c:numCache>
            </c:numRef>
          </c:val>
          <c:extLst>
            <c:ext xmlns:c16="http://schemas.microsoft.com/office/drawing/2014/chart" uri="{C3380CC4-5D6E-409C-BE32-E72D297353CC}">
              <c16:uniqueId val="{00000004-412C-499A-AA3E-33A5A61A5A0B}"/>
            </c:ext>
          </c:extLst>
        </c:ser>
        <c:ser>
          <c:idx val="5"/>
          <c:order val="5"/>
          <c:tx>
            <c:strRef>
              <c:f>Dupont!$I$16</c:f>
              <c:strCache>
                <c:ptCount val="1"/>
                <c:pt idx="0">
                  <c:v> ROE(%) Ratio</c:v>
                </c:pt>
              </c:strCache>
            </c:strRef>
          </c:tx>
          <c:spPr>
            <a:solidFill>
              <a:schemeClr val="accent6"/>
            </a:solidFill>
            <a:ln>
              <a:noFill/>
            </a:ln>
            <a:effectLst/>
          </c:spPr>
          <c:invertIfNegative val="0"/>
          <c:cat>
            <c:strRef>
              <c:f>Dupont!$C$17:$C$18</c:f>
              <c:strCache>
                <c:ptCount val="1"/>
                <c:pt idx="0">
                  <c:v>2020</c:v>
                </c:pt>
              </c:strCache>
            </c:strRef>
          </c:cat>
          <c:val>
            <c:numRef>
              <c:f>Dupont!$I$17:$I$18</c:f>
              <c:numCache>
                <c:formatCode>General</c:formatCode>
                <c:ptCount val="1"/>
                <c:pt idx="0">
                  <c:v>13.6</c:v>
                </c:pt>
              </c:numCache>
            </c:numRef>
          </c:val>
          <c:extLst>
            <c:ext xmlns:c16="http://schemas.microsoft.com/office/drawing/2014/chart" uri="{C3380CC4-5D6E-409C-BE32-E72D297353CC}">
              <c16:uniqueId val="{00000005-412C-499A-AA3E-33A5A61A5A0B}"/>
            </c:ext>
          </c:extLst>
        </c:ser>
        <c:dLbls>
          <c:showLegendKey val="0"/>
          <c:showVal val="0"/>
          <c:showCatName val="0"/>
          <c:showSerName val="0"/>
          <c:showPercent val="0"/>
          <c:showBubbleSize val="0"/>
        </c:dLbls>
        <c:gapWidth val="219"/>
        <c:overlap val="-27"/>
        <c:axId val="828583087"/>
        <c:axId val="828573487"/>
      </c:barChart>
      <c:catAx>
        <c:axId val="8285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573487"/>
        <c:crosses val="autoZero"/>
        <c:auto val="1"/>
        <c:lblAlgn val="ctr"/>
        <c:lblOffset val="100"/>
        <c:noMultiLvlLbl val="0"/>
      </c:catAx>
      <c:valAx>
        <c:axId val="82857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58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KeyFinRatios_.xlsx]Dupont!PivotTable1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Dupont!$O$34</c:f>
              <c:strCache>
                <c:ptCount val="1"/>
                <c:pt idx="0">
                  <c:v>Sum of 2025</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AD-4068-A0E5-8364AD8F91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AD-4068-A0E5-8364AD8F91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AD-4068-A0E5-8364AD8F91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AD-4068-A0E5-8364AD8F912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6AD-4068-A0E5-8364AD8F91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6AD-4068-A0E5-8364AD8F9123}"/>
              </c:ext>
            </c:extLst>
          </c:dPt>
          <c:cat>
            <c:strRef>
              <c:f>Dupont!$N$35:$N$36</c:f>
              <c:strCache>
                <c:ptCount val="1"/>
                <c:pt idx="0">
                  <c:v>ROE(%)</c:v>
                </c:pt>
              </c:strCache>
            </c:strRef>
          </c:cat>
          <c:val>
            <c:numRef>
              <c:f>Dupont!$O$35:$O$36</c:f>
              <c:numCache>
                <c:formatCode>General</c:formatCode>
                <c:ptCount val="1"/>
                <c:pt idx="0">
                  <c:v>17.829999999999998</c:v>
                </c:pt>
              </c:numCache>
            </c:numRef>
          </c:val>
          <c:extLst>
            <c:ext xmlns:c16="http://schemas.microsoft.com/office/drawing/2014/chart" uri="{C3380CC4-5D6E-409C-BE32-E72D297353CC}">
              <c16:uniqueId val="{00000000-9D72-4C0B-A028-BEB6BD88E578}"/>
            </c:ext>
          </c:extLst>
        </c:ser>
        <c:ser>
          <c:idx val="1"/>
          <c:order val="1"/>
          <c:tx>
            <c:strRef>
              <c:f>Dupont!$P$34</c:f>
              <c:strCache>
                <c:ptCount val="1"/>
                <c:pt idx="0">
                  <c:v>Sum of 2024</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36AD-4068-A0E5-8364AD8F91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36AD-4068-A0E5-8364AD8F91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36AD-4068-A0E5-8364AD8F91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36AD-4068-A0E5-8364AD8F912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36AD-4068-A0E5-8364AD8F91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36AD-4068-A0E5-8364AD8F9123}"/>
              </c:ext>
            </c:extLst>
          </c:dPt>
          <c:cat>
            <c:strRef>
              <c:f>Dupont!$N$35:$N$36</c:f>
              <c:strCache>
                <c:ptCount val="1"/>
                <c:pt idx="0">
                  <c:v>ROE(%)</c:v>
                </c:pt>
              </c:strCache>
            </c:strRef>
          </c:cat>
          <c:val>
            <c:numRef>
              <c:f>Dupont!$P$35:$P$36</c:f>
              <c:numCache>
                <c:formatCode>General</c:formatCode>
                <c:ptCount val="1"/>
                <c:pt idx="0">
                  <c:v>12.05</c:v>
                </c:pt>
              </c:numCache>
            </c:numRef>
          </c:val>
          <c:extLst>
            <c:ext xmlns:c16="http://schemas.microsoft.com/office/drawing/2014/chart" uri="{C3380CC4-5D6E-409C-BE32-E72D297353CC}">
              <c16:uniqueId val="{00000001-9D72-4C0B-A028-BEB6BD88E578}"/>
            </c:ext>
          </c:extLst>
        </c:ser>
        <c:ser>
          <c:idx val="2"/>
          <c:order val="2"/>
          <c:tx>
            <c:strRef>
              <c:f>Dupont!$Q$34</c:f>
              <c:strCache>
                <c:ptCount val="1"/>
                <c:pt idx="0">
                  <c:v>Sum of 2023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36AD-4068-A0E5-8364AD8F91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36AD-4068-A0E5-8364AD8F91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36AD-4068-A0E5-8364AD8F91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36AD-4068-A0E5-8364AD8F912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36AD-4068-A0E5-8364AD8F91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36AD-4068-A0E5-8364AD8F9123}"/>
              </c:ext>
            </c:extLst>
          </c:dPt>
          <c:cat>
            <c:strRef>
              <c:f>Dupont!$N$35:$N$36</c:f>
              <c:strCache>
                <c:ptCount val="1"/>
                <c:pt idx="0">
                  <c:v>ROE(%)</c:v>
                </c:pt>
              </c:strCache>
            </c:strRef>
          </c:cat>
          <c:val>
            <c:numRef>
              <c:f>Dupont!$Q$35:$Q$36</c:f>
              <c:numCache>
                <c:formatCode>General</c:formatCode>
                <c:ptCount val="1"/>
                <c:pt idx="0">
                  <c:v>13.89</c:v>
                </c:pt>
              </c:numCache>
            </c:numRef>
          </c:val>
          <c:extLst>
            <c:ext xmlns:c16="http://schemas.microsoft.com/office/drawing/2014/chart" uri="{C3380CC4-5D6E-409C-BE32-E72D297353CC}">
              <c16:uniqueId val="{00000002-9D72-4C0B-A028-BEB6BD88E578}"/>
            </c:ext>
          </c:extLst>
        </c:ser>
        <c:ser>
          <c:idx val="3"/>
          <c:order val="3"/>
          <c:tx>
            <c:strRef>
              <c:f>Dupont!$R$34</c:f>
              <c:strCache>
                <c:ptCount val="1"/>
                <c:pt idx="0">
                  <c:v>Sum of 2022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5-36AD-4068-A0E5-8364AD8F91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7-36AD-4068-A0E5-8364AD8F91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9-36AD-4068-A0E5-8364AD8F91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B-36AD-4068-A0E5-8364AD8F912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D-36AD-4068-A0E5-8364AD8F91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F-36AD-4068-A0E5-8364AD8F9123}"/>
              </c:ext>
            </c:extLst>
          </c:dPt>
          <c:cat>
            <c:strRef>
              <c:f>Dupont!$N$35:$N$36</c:f>
              <c:strCache>
                <c:ptCount val="1"/>
                <c:pt idx="0">
                  <c:v>ROE(%)</c:v>
                </c:pt>
              </c:strCache>
            </c:strRef>
          </c:cat>
          <c:val>
            <c:numRef>
              <c:f>Dupont!$R$35:$R$36</c:f>
              <c:numCache>
                <c:formatCode>General</c:formatCode>
                <c:ptCount val="1"/>
                <c:pt idx="0">
                  <c:v>-5.19</c:v>
                </c:pt>
              </c:numCache>
            </c:numRef>
          </c:val>
          <c:extLst>
            <c:ext xmlns:c16="http://schemas.microsoft.com/office/drawing/2014/chart" uri="{C3380CC4-5D6E-409C-BE32-E72D297353CC}">
              <c16:uniqueId val="{00000003-9D72-4C0B-A028-BEB6BD88E578}"/>
            </c:ext>
          </c:extLst>
        </c:ser>
        <c:ser>
          <c:idx val="4"/>
          <c:order val="4"/>
          <c:tx>
            <c:strRef>
              <c:f>Dupont!$S$34</c:f>
              <c:strCache>
                <c:ptCount val="1"/>
                <c:pt idx="0">
                  <c:v>Sum of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1-36AD-4068-A0E5-8364AD8F91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3-36AD-4068-A0E5-8364AD8F91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5-36AD-4068-A0E5-8364AD8F91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7-36AD-4068-A0E5-8364AD8F912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9-36AD-4068-A0E5-8364AD8F91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B-36AD-4068-A0E5-8364AD8F9123}"/>
              </c:ext>
            </c:extLst>
          </c:dPt>
          <c:cat>
            <c:strRef>
              <c:f>Dupont!$N$35:$N$36</c:f>
              <c:strCache>
                <c:ptCount val="1"/>
                <c:pt idx="0">
                  <c:v>ROE(%)</c:v>
                </c:pt>
              </c:strCache>
            </c:strRef>
          </c:cat>
          <c:val>
            <c:numRef>
              <c:f>Dupont!$S$35:$S$36</c:f>
              <c:numCache>
                <c:formatCode>General</c:formatCode>
                <c:ptCount val="1"/>
                <c:pt idx="0">
                  <c:v>3.53</c:v>
                </c:pt>
              </c:numCache>
            </c:numRef>
          </c:val>
          <c:extLst>
            <c:ext xmlns:c16="http://schemas.microsoft.com/office/drawing/2014/chart" uri="{C3380CC4-5D6E-409C-BE32-E72D297353CC}">
              <c16:uniqueId val="{00000004-9D72-4C0B-A028-BEB6BD88E57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KeyFinRatios_.xlsx]Dupont!PivotTable10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Dupont!$D$16</c:f>
              <c:strCache>
                <c:ptCount val="1"/>
                <c:pt idx="0">
                  <c:v> PBIDT/Sales(%) Ratio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Dupont!$C$17:$C$18</c:f>
              <c:strCache>
                <c:ptCount val="1"/>
                <c:pt idx="0">
                  <c:v>2020</c:v>
                </c:pt>
              </c:strCache>
            </c:strRef>
          </c:cat>
          <c:val>
            <c:numRef>
              <c:f>Dupont!$D$17:$D$18</c:f>
              <c:numCache>
                <c:formatCode>General</c:formatCode>
                <c:ptCount val="1"/>
                <c:pt idx="0">
                  <c:v>33.69</c:v>
                </c:pt>
              </c:numCache>
            </c:numRef>
          </c:val>
          <c:extLst>
            <c:ext xmlns:c16="http://schemas.microsoft.com/office/drawing/2014/chart" uri="{C3380CC4-5D6E-409C-BE32-E72D297353CC}">
              <c16:uniqueId val="{00000000-4343-4828-8A5A-10BD01354835}"/>
            </c:ext>
          </c:extLst>
        </c:ser>
        <c:ser>
          <c:idx val="1"/>
          <c:order val="1"/>
          <c:tx>
            <c:strRef>
              <c:f>Dupont!$E$16</c:f>
              <c:strCache>
                <c:ptCount val="1"/>
                <c:pt idx="0">
                  <c:v>Sales/Net Assets Ratio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Dupont!$C$17:$C$18</c:f>
              <c:strCache>
                <c:ptCount val="1"/>
                <c:pt idx="0">
                  <c:v>2020</c:v>
                </c:pt>
              </c:strCache>
            </c:strRef>
          </c:cat>
          <c:val>
            <c:numRef>
              <c:f>Dupont!$E$17:$E$18</c:f>
              <c:numCache>
                <c:formatCode>General</c:formatCode>
                <c:ptCount val="1"/>
                <c:pt idx="0">
                  <c:v>0.39</c:v>
                </c:pt>
              </c:numCache>
            </c:numRef>
          </c:val>
          <c:extLst>
            <c:ext xmlns:c16="http://schemas.microsoft.com/office/drawing/2014/chart" uri="{C3380CC4-5D6E-409C-BE32-E72D297353CC}">
              <c16:uniqueId val="{00000001-4343-4828-8A5A-10BD01354835}"/>
            </c:ext>
          </c:extLst>
        </c:ser>
        <c:ser>
          <c:idx val="2"/>
          <c:order val="2"/>
          <c:tx>
            <c:strRef>
              <c:f>Dupont!$F$16</c:f>
              <c:strCache>
                <c:ptCount val="1"/>
                <c:pt idx="0">
                  <c:v>PBDIT/Net Assets Ratios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Dupont!$C$17:$C$18</c:f>
              <c:strCache>
                <c:ptCount val="1"/>
                <c:pt idx="0">
                  <c:v>2020</c:v>
                </c:pt>
              </c:strCache>
            </c:strRef>
          </c:cat>
          <c:val>
            <c:numRef>
              <c:f>Dupont!$F$17:$F$18</c:f>
              <c:numCache>
                <c:formatCode>General</c:formatCode>
                <c:ptCount val="1"/>
                <c:pt idx="0">
                  <c:v>0.13</c:v>
                </c:pt>
              </c:numCache>
            </c:numRef>
          </c:val>
          <c:extLst>
            <c:ext xmlns:c16="http://schemas.microsoft.com/office/drawing/2014/chart" uri="{C3380CC4-5D6E-409C-BE32-E72D297353CC}">
              <c16:uniqueId val="{00000002-4343-4828-8A5A-10BD01354835}"/>
            </c:ext>
          </c:extLst>
        </c:ser>
        <c:ser>
          <c:idx val="3"/>
          <c:order val="3"/>
          <c:tx>
            <c:strRef>
              <c:f>Dupont!$G$16</c:f>
              <c:strCache>
                <c:ptCount val="1"/>
                <c:pt idx="0">
                  <c:v> PAT/PBIDT(%) Ratio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Dupont!$C$17:$C$18</c:f>
              <c:strCache>
                <c:ptCount val="1"/>
                <c:pt idx="0">
                  <c:v>2020</c:v>
                </c:pt>
              </c:strCache>
            </c:strRef>
          </c:cat>
          <c:val>
            <c:numRef>
              <c:f>Dupont!$G$17:$G$18</c:f>
              <c:numCache>
                <c:formatCode>General</c:formatCode>
                <c:ptCount val="1"/>
                <c:pt idx="0">
                  <c:v>76.05</c:v>
                </c:pt>
              </c:numCache>
            </c:numRef>
          </c:val>
          <c:extLst>
            <c:ext xmlns:c16="http://schemas.microsoft.com/office/drawing/2014/chart" uri="{C3380CC4-5D6E-409C-BE32-E72D297353CC}">
              <c16:uniqueId val="{00000003-4343-4828-8A5A-10BD01354835}"/>
            </c:ext>
          </c:extLst>
        </c:ser>
        <c:ser>
          <c:idx val="4"/>
          <c:order val="4"/>
          <c:tx>
            <c:strRef>
              <c:f>Dupont!$H$16</c:f>
              <c:strCache>
                <c:ptCount val="1"/>
                <c:pt idx="0">
                  <c:v> Net Assets/Net Worth Ratio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Dupont!$C$17:$C$18</c:f>
              <c:strCache>
                <c:ptCount val="1"/>
                <c:pt idx="0">
                  <c:v>2020</c:v>
                </c:pt>
              </c:strCache>
            </c:strRef>
          </c:cat>
          <c:val>
            <c:numRef>
              <c:f>Dupont!$H$17:$H$18</c:f>
              <c:numCache>
                <c:formatCode>General</c:formatCode>
                <c:ptCount val="1"/>
                <c:pt idx="0">
                  <c:v>1.33</c:v>
                </c:pt>
              </c:numCache>
            </c:numRef>
          </c:val>
          <c:extLst>
            <c:ext xmlns:c16="http://schemas.microsoft.com/office/drawing/2014/chart" uri="{C3380CC4-5D6E-409C-BE32-E72D297353CC}">
              <c16:uniqueId val="{00000004-4343-4828-8A5A-10BD01354835}"/>
            </c:ext>
          </c:extLst>
        </c:ser>
        <c:ser>
          <c:idx val="5"/>
          <c:order val="5"/>
          <c:tx>
            <c:strRef>
              <c:f>Dupont!$I$16</c:f>
              <c:strCache>
                <c:ptCount val="1"/>
                <c:pt idx="0">
                  <c:v> ROE(%) Ratio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Dupont!$C$17:$C$18</c:f>
              <c:strCache>
                <c:ptCount val="1"/>
                <c:pt idx="0">
                  <c:v>2020</c:v>
                </c:pt>
              </c:strCache>
            </c:strRef>
          </c:cat>
          <c:val>
            <c:numRef>
              <c:f>Dupont!$I$17:$I$18</c:f>
              <c:numCache>
                <c:formatCode>General</c:formatCode>
                <c:ptCount val="1"/>
                <c:pt idx="0">
                  <c:v>13.6</c:v>
                </c:pt>
              </c:numCache>
            </c:numRef>
          </c:val>
          <c:extLst>
            <c:ext xmlns:c16="http://schemas.microsoft.com/office/drawing/2014/chart" uri="{C3380CC4-5D6E-409C-BE32-E72D297353CC}">
              <c16:uniqueId val="{00000005-4343-4828-8A5A-10BD01354835}"/>
            </c:ext>
          </c:extLst>
        </c:ser>
        <c:dLbls>
          <c:showLegendKey val="0"/>
          <c:showVal val="0"/>
          <c:showCatName val="0"/>
          <c:showSerName val="0"/>
          <c:showPercent val="0"/>
          <c:showBubbleSize val="0"/>
        </c:dLbls>
        <c:gapWidth val="100"/>
        <c:overlap val="-24"/>
        <c:axId val="828583087"/>
        <c:axId val="828573487"/>
      </c:barChart>
      <c:catAx>
        <c:axId val="828583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573487"/>
        <c:crosses val="autoZero"/>
        <c:auto val="1"/>
        <c:lblAlgn val="ctr"/>
        <c:lblOffset val="100"/>
        <c:noMultiLvlLbl val="0"/>
      </c:catAx>
      <c:valAx>
        <c:axId val="828573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58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KeyFinRatios_.xlsx]Dupont!PivotTable1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pivotFmt>
      <c:pivotFmt>
        <c:idx val="39"/>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000000000000001E-2"/>
          <c:y val="0.2401367016622922"/>
          <c:w val="0.64877252843394573"/>
          <c:h val="0.59421733741615634"/>
        </c:manualLayout>
      </c:layout>
      <c:pie3DChart>
        <c:varyColors val="1"/>
        <c:ser>
          <c:idx val="0"/>
          <c:order val="0"/>
          <c:tx>
            <c:strRef>
              <c:f>Dupont!$O$34</c:f>
              <c:strCache>
                <c:ptCount val="1"/>
                <c:pt idx="0">
                  <c:v>Sum of 2025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636-4024-BF3A-4FB0292EC9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636-4024-BF3A-4FB0292EC9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636-4024-BF3A-4FB0292EC9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636-4024-BF3A-4FB0292EC9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636-4024-BF3A-4FB0292EC9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636-4024-BF3A-4FB0292EC9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Dupont!$N$35:$N$36</c:f>
              <c:strCache>
                <c:ptCount val="1"/>
                <c:pt idx="0">
                  <c:v>ROE(%)</c:v>
                </c:pt>
              </c:strCache>
            </c:strRef>
          </c:cat>
          <c:val>
            <c:numRef>
              <c:f>Dupont!$O$35:$O$36</c:f>
              <c:numCache>
                <c:formatCode>General</c:formatCode>
                <c:ptCount val="1"/>
                <c:pt idx="0">
                  <c:v>17.829999999999998</c:v>
                </c:pt>
              </c:numCache>
            </c:numRef>
          </c:val>
          <c:extLst>
            <c:ext xmlns:c16="http://schemas.microsoft.com/office/drawing/2014/chart" uri="{C3380CC4-5D6E-409C-BE32-E72D297353CC}">
              <c16:uniqueId val="{0000000C-D636-4024-BF3A-4FB0292EC9A6}"/>
            </c:ext>
          </c:extLst>
        </c:ser>
        <c:ser>
          <c:idx val="1"/>
          <c:order val="1"/>
          <c:tx>
            <c:strRef>
              <c:f>Dupont!$P$34</c:f>
              <c:strCache>
                <c:ptCount val="1"/>
                <c:pt idx="0">
                  <c:v>Sum of 2024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D636-4024-BF3A-4FB0292EC9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D636-4024-BF3A-4FB0292EC9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D636-4024-BF3A-4FB0292EC9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D636-4024-BF3A-4FB0292EC9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D636-4024-BF3A-4FB0292EC9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D636-4024-BF3A-4FB0292EC9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Dupont!$N$35:$N$36</c:f>
              <c:strCache>
                <c:ptCount val="1"/>
                <c:pt idx="0">
                  <c:v>ROE(%)</c:v>
                </c:pt>
              </c:strCache>
            </c:strRef>
          </c:cat>
          <c:val>
            <c:numRef>
              <c:f>Dupont!$P$35:$P$36</c:f>
              <c:numCache>
                <c:formatCode>General</c:formatCode>
                <c:ptCount val="1"/>
                <c:pt idx="0">
                  <c:v>12.05</c:v>
                </c:pt>
              </c:numCache>
            </c:numRef>
          </c:val>
          <c:extLst>
            <c:ext xmlns:c16="http://schemas.microsoft.com/office/drawing/2014/chart" uri="{C3380CC4-5D6E-409C-BE32-E72D297353CC}">
              <c16:uniqueId val="{00000019-D636-4024-BF3A-4FB0292EC9A6}"/>
            </c:ext>
          </c:extLst>
        </c:ser>
        <c:ser>
          <c:idx val="2"/>
          <c:order val="2"/>
          <c:tx>
            <c:strRef>
              <c:f>Dupont!$Q$34</c:f>
              <c:strCache>
                <c:ptCount val="1"/>
                <c:pt idx="0">
                  <c:v>Sum of 2023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D636-4024-BF3A-4FB0292EC9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D636-4024-BF3A-4FB0292EC9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D636-4024-BF3A-4FB0292EC9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D636-4024-BF3A-4FB0292EC9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D636-4024-BF3A-4FB0292EC9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D636-4024-BF3A-4FB0292EC9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Dupont!$N$35:$N$36</c:f>
              <c:strCache>
                <c:ptCount val="1"/>
                <c:pt idx="0">
                  <c:v>ROE(%)</c:v>
                </c:pt>
              </c:strCache>
            </c:strRef>
          </c:cat>
          <c:val>
            <c:numRef>
              <c:f>Dupont!$Q$35:$Q$36</c:f>
              <c:numCache>
                <c:formatCode>General</c:formatCode>
                <c:ptCount val="1"/>
                <c:pt idx="0">
                  <c:v>13.89</c:v>
                </c:pt>
              </c:numCache>
            </c:numRef>
          </c:val>
          <c:extLst>
            <c:ext xmlns:c16="http://schemas.microsoft.com/office/drawing/2014/chart" uri="{C3380CC4-5D6E-409C-BE32-E72D297353CC}">
              <c16:uniqueId val="{00000026-D636-4024-BF3A-4FB0292EC9A6}"/>
            </c:ext>
          </c:extLst>
        </c:ser>
        <c:ser>
          <c:idx val="3"/>
          <c:order val="3"/>
          <c:tx>
            <c:strRef>
              <c:f>Dupont!$R$34</c:f>
              <c:strCache>
                <c:ptCount val="1"/>
                <c:pt idx="0">
                  <c:v>Sum of 2022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D636-4024-BF3A-4FB0292EC9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A-D636-4024-BF3A-4FB0292EC9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C-D636-4024-BF3A-4FB0292EC9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E-D636-4024-BF3A-4FB0292EC9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0-D636-4024-BF3A-4FB0292EC9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2-D636-4024-BF3A-4FB0292EC9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Dupont!$N$35:$N$36</c:f>
              <c:strCache>
                <c:ptCount val="1"/>
                <c:pt idx="0">
                  <c:v>ROE(%)</c:v>
                </c:pt>
              </c:strCache>
            </c:strRef>
          </c:cat>
          <c:val>
            <c:numRef>
              <c:f>Dupont!$R$35:$R$36</c:f>
              <c:numCache>
                <c:formatCode>General</c:formatCode>
                <c:ptCount val="1"/>
                <c:pt idx="0">
                  <c:v>-5.19</c:v>
                </c:pt>
              </c:numCache>
            </c:numRef>
          </c:val>
          <c:extLst>
            <c:ext xmlns:c16="http://schemas.microsoft.com/office/drawing/2014/chart" uri="{C3380CC4-5D6E-409C-BE32-E72D297353CC}">
              <c16:uniqueId val="{00000033-D636-4024-BF3A-4FB0292EC9A6}"/>
            </c:ext>
          </c:extLst>
        </c:ser>
        <c:ser>
          <c:idx val="4"/>
          <c:order val="4"/>
          <c:tx>
            <c:strRef>
              <c:f>Dupont!$S$34</c:f>
              <c:strCache>
                <c:ptCount val="1"/>
                <c:pt idx="0">
                  <c:v>Sum of 2021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D636-4024-BF3A-4FB0292EC9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D636-4024-BF3A-4FB0292EC9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D636-4024-BF3A-4FB0292EC9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D636-4024-BF3A-4FB0292EC9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D636-4024-BF3A-4FB0292EC9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D636-4024-BF3A-4FB0292EC9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Dupont!$N$35:$N$36</c:f>
              <c:strCache>
                <c:ptCount val="1"/>
                <c:pt idx="0">
                  <c:v>ROE(%)</c:v>
                </c:pt>
              </c:strCache>
            </c:strRef>
          </c:cat>
          <c:val>
            <c:numRef>
              <c:f>Dupont!$S$35:$S$36</c:f>
              <c:numCache>
                <c:formatCode>General</c:formatCode>
                <c:ptCount val="1"/>
                <c:pt idx="0">
                  <c:v>3.53</c:v>
                </c:pt>
              </c:numCache>
            </c:numRef>
          </c:val>
          <c:extLst>
            <c:ext xmlns:c16="http://schemas.microsoft.com/office/drawing/2014/chart" uri="{C3380CC4-5D6E-409C-BE32-E72D297353CC}">
              <c16:uniqueId val="{00000040-D636-4024-BF3A-4FB0292EC9A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KeyFinRatios_.xlsx]Pivot Table Group!PivotTable7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Group'!$B$3</c:f>
              <c:strCache>
                <c:ptCount val="1"/>
                <c:pt idx="0">
                  <c:v>  2025</c:v>
                </c:pt>
              </c:strCache>
            </c:strRef>
          </c:tx>
          <c:spPr>
            <a:solidFill>
              <a:schemeClr val="accent1"/>
            </a:solidFill>
            <a:ln>
              <a:noFill/>
            </a:ln>
            <a:effectLst/>
          </c:spPr>
          <c:invertIfNegative val="0"/>
          <c:cat>
            <c:multiLvlStrRef>
              <c:f>'Pivot Table Group'!$A$4:$A$6</c:f>
              <c:multiLvlStrCache>
                <c:ptCount val="1"/>
                <c:lvl>
                  <c:pt idx="0">
                    <c:v>Current Ratio</c:v>
                  </c:pt>
                </c:lvl>
                <c:lvl>
                  <c:pt idx="0">
                    <c:v>Liquidity Ratios</c:v>
                  </c:pt>
                </c:lvl>
              </c:multiLvlStrCache>
            </c:multiLvlStrRef>
          </c:cat>
          <c:val>
            <c:numRef>
              <c:f>'Pivot Table Group'!$B$4:$B$6</c:f>
              <c:numCache>
                <c:formatCode>General</c:formatCode>
                <c:ptCount val="1"/>
                <c:pt idx="0">
                  <c:v>1.54</c:v>
                </c:pt>
              </c:numCache>
            </c:numRef>
          </c:val>
          <c:extLst>
            <c:ext xmlns:c16="http://schemas.microsoft.com/office/drawing/2014/chart" uri="{C3380CC4-5D6E-409C-BE32-E72D297353CC}">
              <c16:uniqueId val="{00000000-A692-48F4-9731-63E0D1A5C901}"/>
            </c:ext>
          </c:extLst>
        </c:ser>
        <c:ser>
          <c:idx val="1"/>
          <c:order val="1"/>
          <c:tx>
            <c:strRef>
              <c:f>'Pivot Table Group'!$C$3</c:f>
              <c:strCache>
                <c:ptCount val="1"/>
                <c:pt idx="0">
                  <c:v> 2024</c:v>
                </c:pt>
              </c:strCache>
            </c:strRef>
          </c:tx>
          <c:spPr>
            <a:solidFill>
              <a:schemeClr val="accent2"/>
            </a:solidFill>
            <a:ln>
              <a:noFill/>
            </a:ln>
            <a:effectLst/>
          </c:spPr>
          <c:invertIfNegative val="0"/>
          <c:cat>
            <c:multiLvlStrRef>
              <c:f>'Pivot Table Group'!$A$4:$A$6</c:f>
              <c:multiLvlStrCache>
                <c:ptCount val="1"/>
                <c:lvl>
                  <c:pt idx="0">
                    <c:v>Current Ratio</c:v>
                  </c:pt>
                </c:lvl>
                <c:lvl>
                  <c:pt idx="0">
                    <c:v>Liquidity Ratios</c:v>
                  </c:pt>
                </c:lvl>
              </c:multiLvlStrCache>
            </c:multiLvlStrRef>
          </c:cat>
          <c:val>
            <c:numRef>
              <c:f>'Pivot Table Group'!$C$4:$C$6</c:f>
              <c:numCache>
                <c:formatCode>General</c:formatCode>
                <c:ptCount val="1"/>
                <c:pt idx="0">
                  <c:v>2.39</c:v>
                </c:pt>
              </c:numCache>
            </c:numRef>
          </c:val>
          <c:extLst>
            <c:ext xmlns:c16="http://schemas.microsoft.com/office/drawing/2014/chart" uri="{C3380CC4-5D6E-409C-BE32-E72D297353CC}">
              <c16:uniqueId val="{00000001-A692-48F4-9731-63E0D1A5C901}"/>
            </c:ext>
          </c:extLst>
        </c:ser>
        <c:ser>
          <c:idx val="2"/>
          <c:order val="2"/>
          <c:tx>
            <c:strRef>
              <c:f>'Pivot Table Group'!$D$3</c:f>
              <c:strCache>
                <c:ptCount val="1"/>
                <c:pt idx="0">
                  <c:v> 2023</c:v>
                </c:pt>
              </c:strCache>
            </c:strRef>
          </c:tx>
          <c:spPr>
            <a:solidFill>
              <a:schemeClr val="accent3"/>
            </a:solidFill>
            <a:ln>
              <a:noFill/>
            </a:ln>
            <a:effectLst/>
          </c:spPr>
          <c:invertIfNegative val="0"/>
          <c:cat>
            <c:multiLvlStrRef>
              <c:f>'Pivot Table Group'!$A$4:$A$6</c:f>
              <c:multiLvlStrCache>
                <c:ptCount val="1"/>
                <c:lvl>
                  <c:pt idx="0">
                    <c:v>Current Ratio</c:v>
                  </c:pt>
                </c:lvl>
                <c:lvl>
                  <c:pt idx="0">
                    <c:v>Liquidity Ratios</c:v>
                  </c:pt>
                </c:lvl>
              </c:multiLvlStrCache>
            </c:multiLvlStrRef>
          </c:cat>
          <c:val>
            <c:numRef>
              <c:f>'Pivot Table Group'!$D$4:$D$6</c:f>
              <c:numCache>
                <c:formatCode>General</c:formatCode>
                <c:ptCount val="1"/>
                <c:pt idx="0">
                  <c:v>1.42</c:v>
                </c:pt>
              </c:numCache>
            </c:numRef>
          </c:val>
          <c:extLst>
            <c:ext xmlns:c16="http://schemas.microsoft.com/office/drawing/2014/chart" uri="{C3380CC4-5D6E-409C-BE32-E72D297353CC}">
              <c16:uniqueId val="{00000002-A692-48F4-9731-63E0D1A5C901}"/>
            </c:ext>
          </c:extLst>
        </c:ser>
        <c:ser>
          <c:idx val="3"/>
          <c:order val="3"/>
          <c:tx>
            <c:strRef>
              <c:f>'Pivot Table Group'!$E$3</c:f>
              <c:strCache>
                <c:ptCount val="1"/>
                <c:pt idx="0">
                  <c:v> 2022</c:v>
                </c:pt>
              </c:strCache>
            </c:strRef>
          </c:tx>
          <c:spPr>
            <a:solidFill>
              <a:schemeClr val="accent4"/>
            </a:solidFill>
            <a:ln>
              <a:noFill/>
            </a:ln>
            <a:effectLst/>
          </c:spPr>
          <c:invertIfNegative val="0"/>
          <c:cat>
            <c:multiLvlStrRef>
              <c:f>'Pivot Table Group'!$A$4:$A$6</c:f>
              <c:multiLvlStrCache>
                <c:ptCount val="1"/>
                <c:lvl>
                  <c:pt idx="0">
                    <c:v>Current Ratio</c:v>
                  </c:pt>
                </c:lvl>
                <c:lvl>
                  <c:pt idx="0">
                    <c:v>Liquidity Ratios</c:v>
                  </c:pt>
                </c:lvl>
              </c:multiLvlStrCache>
            </c:multiLvlStrRef>
          </c:cat>
          <c:val>
            <c:numRef>
              <c:f>'Pivot Table Group'!$E$4:$E$6</c:f>
              <c:numCache>
                <c:formatCode>General</c:formatCode>
                <c:ptCount val="1"/>
                <c:pt idx="0">
                  <c:v>1.18</c:v>
                </c:pt>
              </c:numCache>
            </c:numRef>
          </c:val>
          <c:extLst>
            <c:ext xmlns:c16="http://schemas.microsoft.com/office/drawing/2014/chart" uri="{C3380CC4-5D6E-409C-BE32-E72D297353CC}">
              <c16:uniqueId val="{00000003-A692-48F4-9731-63E0D1A5C901}"/>
            </c:ext>
          </c:extLst>
        </c:ser>
        <c:ser>
          <c:idx val="4"/>
          <c:order val="4"/>
          <c:tx>
            <c:strRef>
              <c:f>'Pivot Table Group'!$F$3</c:f>
              <c:strCache>
                <c:ptCount val="1"/>
                <c:pt idx="0">
                  <c:v>  2021 </c:v>
                </c:pt>
              </c:strCache>
            </c:strRef>
          </c:tx>
          <c:spPr>
            <a:solidFill>
              <a:schemeClr val="accent5"/>
            </a:solidFill>
            <a:ln>
              <a:noFill/>
            </a:ln>
            <a:effectLst/>
          </c:spPr>
          <c:invertIfNegative val="0"/>
          <c:cat>
            <c:multiLvlStrRef>
              <c:f>'Pivot Table Group'!$A$4:$A$6</c:f>
              <c:multiLvlStrCache>
                <c:ptCount val="1"/>
                <c:lvl>
                  <c:pt idx="0">
                    <c:v>Current Ratio</c:v>
                  </c:pt>
                </c:lvl>
                <c:lvl>
                  <c:pt idx="0">
                    <c:v>Liquidity Ratios</c:v>
                  </c:pt>
                </c:lvl>
              </c:multiLvlStrCache>
            </c:multiLvlStrRef>
          </c:cat>
          <c:val>
            <c:numRef>
              <c:f>'Pivot Table Group'!$F$4:$F$6</c:f>
              <c:numCache>
                <c:formatCode>General</c:formatCode>
                <c:ptCount val="1"/>
                <c:pt idx="0">
                  <c:v>1.25</c:v>
                </c:pt>
              </c:numCache>
            </c:numRef>
          </c:val>
          <c:extLst>
            <c:ext xmlns:c16="http://schemas.microsoft.com/office/drawing/2014/chart" uri="{C3380CC4-5D6E-409C-BE32-E72D297353CC}">
              <c16:uniqueId val="{00000004-A692-48F4-9731-63E0D1A5C901}"/>
            </c:ext>
          </c:extLst>
        </c:ser>
        <c:ser>
          <c:idx val="5"/>
          <c:order val="5"/>
          <c:tx>
            <c:strRef>
              <c:f>'Pivot Table Group'!$G$3</c:f>
              <c:strCache>
                <c:ptCount val="1"/>
                <c:pt idx="0">
                  <c:v> 2020</c:v>
                </c:pt>
              </c:strCache>
            </c:strRef>
          </c:tx>
          <c:spPr>
            <a:solidFill>
              <a:schemeClr val="accent6"/>
            </a:solidFill>
            <a:ln>
              <a:noFill/>
            </a:ln>
            <a:effectLst/>
          </c:spPr>
          <c:invertIfNegative val="0"/>
          <c:cat>
            <c:multiLvlStrRef>
              <c:f>'Pivot Table Group'!$A$4:$A$6</c:f>
              <c:multiLvlStrCache>
                <c:ptCount val="1"/>
                <c:lvl>
                  <c:pt idx="0">
                    <c:v>Current Ratio</c:v>
                  </c:pt>
                </c:lvl>
                <c:lvl>
                  <c:pt idx="0">
                    <c:v>Liquidity Ratios</c:v>
                  </c:pt>
                </c:lvl>
              </c:multiLvlStrCache>
            </c:multiLvlStrRef>
          </c:cat>
          <c:val>
            <c:numRef>
              <c:f>'Pivot Table Group'!$G$4:$G$6</c:f>
              <c:numCache>
                <c:formatCode>General</c:formatCode>
                <c:ptCount val="1"/>
                <c:pt idx="0">
                  <c:v>1</c:v>
                </c:pt>
              </c:numCache>
            </c:numRef>
          </c:val>
          <c:extLst>
            <c:ext xmlns:c16="http://schemas.microsoft.com/office/drawing/2014/chart" uri="{C3380CC4-5D6E-409C-BE32-E72D297353CC}">
              <c16:uniqueId val="{00000000-34A3-4B69-A21F-03D78F663932}"/>
            </c:ext>
          </c:extLst>
        </c:ser>
        <c:dLbls>
          <c:showLegendKey val="0"/>
          <c:showVal val="0"/>
          <c:showCatName val="0"/>
          <c:showSerName val="0"/>
          <c:showPercent val="0"/>
          <c:showBubbleSize val="0"/>
        </c:dLbls>
        <c:gapWidth val="150"/>
        <c:overlap val="100"/>
        <c:axId val="921978591"/>
        <c:axId val="921979071"/>
      </c:barChart>
      <c:catAx>
        <c:axId val="92197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79071"/>
        <c:crosses val="autoZero"/>
        <c:auto val="1"/>
        <c:lblAlgn val="ctr"/>
        <c:lblOffset val="100"/>
        <c:noMultiLvlLbl val="0"/>
      </c:catAx>
      <c:valAx>
        <c:axId val="921979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7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7620</xdr:colOff>
      <xdr:row>3</xdr:row>
      <xdr:rowOff>22860</xdr:rowOff>
    </xdr:from>
    <xdr:to>
      <xdr:col>27</xdr:col>
      <xdr:colOff>137160</xdr:colOff>
      <xdr:row>37</xdr:row>
      <xdr:rowOff>106680</xdr:rowOff>
    </xdr:to>
    <xdr:sp macro="" textlink="">
      <xdr:nvSpPr>
        <xdr:cNvPr id="11" name="Rectangle 10">
          <a:extLst>
            <a:ext uri="{FF2B5EF4-FFF2-40B4-BE49-F238E27FC236}">
              <a16:creationId xmlns:a16="http://schemas.microsoft.com/office/drawing/2014/main" id="{A63AF6A3-C60E-F62E-36E7-083CCD36139C}"/>
            </a:ext>
          </a:extLst>
        </xdr:cNvPr>
        <xdr:cNvSpPr/>
      </xdr:nvSpPr>
      <xdr:spPr>
        <a:xfrm>
          <a:off x="7620" y="548640"/>
          <a:ext cx="14942820" cy="6042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160020</xdr:colOff>
      <xdr:row>3</xdr:row>
      <xdr:rowOff>83820</xdr:rowOff>
    </xdr:from>
    <xdr:to>
      <xdr:col>8</xdr:col>
      <xdr:colOff>342900</xdr:colOff>
      <xdr:row>19</xdr:row>
      <xdr:rowOff>22860</xdr:rowOff>
    </xdr:to>
    <xdr:graphicFrame macro="">
      <xdr:nvGraphicFramePr>
        <xdr:cNvPr id="13" name="Chart 12">
          <a:extLst>
            <a:ext uri="{FF2B5EF4-FFF2-40B4-BE49-F238E27FC236}">
              <a16:creationId xmlns:a16="http://schemas.microsoft.com/office/drawing/2014/main" id="{4EAA350D-D275-43B4-B91D-C7D58F635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3</xdr:row>
      <xdr:rowOff>83821</xdr:rowOff>
    </xdr:from>
    <xdr:to>
      <xdr:col>12</xdr:col>
      <xdr:colOff>114300</xdr:colOff>
      <xdr:row>12</xdr:row>
      <xdr:rowOff>144781</xdr:rowOff>
    </xdr:to>
    <mc:AlternateContent xmlns:mc="http://schemas.openxmlformats.org/markup-compatibility/2006" xmlns:a14="http://schemas.microsoft.com/office/drawing/2010/main">
      <mc:Choice Requires="a14">
        <xdr:graphicFrame macro="">
          <xdr:nvGraphicFramePr>
            <xdr:cNvPr id="14" name="Group 1">
              <a:extLst>
                <a:ext uri="{FF2B5EF4-FFF2-40B4-BE49-F238E27FC236}">
                  <a16:creationId xmlns:a16="http://schemas.microsoft.com/office/drawing/2014/main" id="{92F3C57E-E869-4A7B-A750-98C70152AE03}"/>
                </a:ext>
              </a:extLst>
            </xdr:cNvPr>
            <xdr:cNvGraphicFramePr/>
          </xdr:nvGraphicFramePr>
          <xdr:xfrm>
            <a:off x="0" y="0"/>
            <a:ext cx="0" cy="0"/>
          </xdr:xfrm>
          <a:graphic>
            <a:graphicData uri="http://schemas.microsoft.com/office/drawing/2010/slicer">
              <sle:slicer xmlns:sle="http://schemas.microsoft.com/office/drawing/2010/slicer" name="Group 1"/>
            </a:graphicData>
          </a:graphic>
        </xdr:graphicFrame>
      </mc:Choice>
      <mc:Fallback xmlns="">
        <xdr:sp macro="" textlink="">
          <xdr:nvSpPr>
            <xdr:cNvPr id="0" name=""/>
            <xdr:cNvSpPr>
              <a:spLocks noTextEdit="1"/>
            </xdr:cNvSpPr>
          </xdr:nvSpPr>
          <xdr:spPr>
            <a:xfrm>
              <a:off x="4869180" y="60960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4</xdr:row>
      <xdr:rowOff>22861</xdr:rowOff>
    </xdr:from>
    <xdr:to>
      <xdr:col>15</xdr:col>
      <xdr:colOff>441960</xdr:colOff>
      <xdr:row>18</xdr:row>
      <xdr:rowOff>150496</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E15854B8-C1AE-41A8-9AF1-AA15A383277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842760" y="72390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13</xdr:row>
      <xdr:rowOff>114301</xdr:rowOff>
    </xdr:from>
    <xdr:to>
      <xdr:col>12</xdr:col>
      <xdr:colOff>129540</xdr:colOff>
      <xdr:row>25</xdr:row>
      <xdr:rowOff>99060</xdr:rowOff>
    </xdr:to>
    <mc:AlternateContent xmlns:mc="http://schemas.openxmlformats.org/markup-compatibility/2006" xmlns:a14="http://schemas.microsoft.com/office/drawing/2010/main">
      <mc:Choice Requires="a14">
        <xdr:graphicFrame macro="">
          <xdr:nvGraphicFramePr>
            <xdr:cNvPr id="16" name="Year 3">
              <a:extLst>
                <a:ext uri="{FF2B5EF4-FFF2-40B4-BE49-F238E27FC236}">
                  <a16:creationId xmlns:a16="http://schemas.microsoft.com/office/drawing/2014/main" id="{6DFE24CA-789F-46FD-BED8-03E4CB7EF65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4846320" y="2392681"/>
              <a:ext cx="1866900" cy="2087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38100</xdr:colOff>
      <xdr:row>3</xdr:row>
      <xdr:rowOff>45720</xdr:rowOff>
    </xdr:from>
    <xdr:to>
      <xdr:col>24</xdr:col>
      <xdr:colOff>220980</xdr:colOff>
      <xdr:row>28</xdr:row>
      <xdr:rowOff>38100</xdr:rowOff>
    </xdr:to>
    <xdr:graphicFrame macro="">
      <xdr:nvGraphicFramePr>
        <xdr:cNvPr id="17" name="Chart 16">
          <a:extLst>
            <a:ext uri="{FF2B5EF4-FFF2-40B4-BE49-F238E27FC236}">
              <a16:creationId xmlns:a16="http://schemas.microsoft.com/office/drawing/2014/main" id="{3D384809-FC7D-451E-A305-3F368566A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441960</xdr:colOff>
      <xdr:row>0</xdr:row>
      <xdr:rowOff>60960</xdr:rowOff>
    </xdr:from>
    <xdr:to>
      <xdr:col>11</xdr:col>
      <xdr:colOff>334478</xdr:colOff>
      <xdr:row>14</xdr:row>
      <xdr:rowOff>28575</xdr:rowOff>
    </xdr:to>
    <mc:AlternateContent xmlns:mc="http://schemas.openxmlformats.org/markup-compatibility/2006" xmlns:a14="http://schemas.microsoft.com/office/drawing/2010/main">
      <mc:Choice Requires="a14">
        <xdr:graphicFrame macro="">
          <xdr:nvGraphicFramePr>
            <xdr:cNvPr id="2" name="Year 4">
              <a:extLst>
                <a:ext uri="{FF2B5EF4-FFF2-40B4-BE49-F238E27FC236}">
                  <a16:creationId xmlns:a16="http://schemas.microsoft.com/office/drawing/2014/main" id="{E79CAC97-62FD-19A2-085E-81A9A547D7E4}"/>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9014460" y="60960"/>
              <a:ext cx="1837623" cy="2514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201930</xdr:colOff>
      <xdr:row>24</xdr:row>
      <xdr:rowOff>137160</xdr:rowOff>
    </xdr:from>
    <xdr:to>
      <xdr:col>6</xdr:col>
      <xdr:colOff>621030</xdr:colOff>
      <xdr:row>40</xdr:row>
      <xdr:rowOff>76200</xdr:rowOff>
    </xdr:to>
    <xdr:graphicFrame macro="">
      <xdr:nvGraphicFramePr>
        <xdr:cNvPr id="3" name="Chart 2">
          <a:extLst>
            <a:ext uri="{FF2B5EF4-FFF2-40B4-BE49-F238E27FC236}">
              <a16:creationId xmlns:a16="http://schemas.microsoft.com/office/drawing/2014/main" id="{60085AA1-83A2-3C7C-285C-199EB2BBB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326056</xdr:colOff>
      <xdr:row>26</xdr:row>
      <xdr:rowOff>101867</xdr:rowOff>
    </xdr:from>
    <xdr:to>
      <xdr:col>26</xdr:col>
      <xdr:colOff>500514</xdr:colOff>
      <xdr:row>41</xdr:row>
      <xdr:rowOff>126432</xdr:rowOff>
    </xdr:to>
    <mc:AlternateContent xmlns:mc="http://schemas.openxmlformats.org/markup-compatibility/2006" xmlns:a14="http://schemas.microsoft.com/office/drawing/2010/main">
      <mc:Choice Requires="a14">
        <xdr:graphicFrame macro="">
          <xdr:nvGraphicFramePr>
            <xdr:cNvPr id="4" name="Year 6">
              <a:extLst>
                <a:ext uri="{FF2B5EF4-FFF2-40B4-BE49-F238E27FC236}">
                  <a16:creationId xmlns:a16="http://schemas.microsoft.com/office/drawing/2014/main" id="{0C666B03-88C4-59E6-72A7-D99D787B26F8}"/>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8894793" y="634826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1198144</xdr:colOff>
      <xdr:row>25</xdr:row>
      <xdr:rowOff>147386</xdr:rowOff>
    </xdr:from>
    <xdr:to>
      <xdr:col>12</xdr:col>
      <xdr:colOff>325854</xdr:colOff>
      <xdr:row>39</xdr:row>
      <xdr:rowOff>3007</xdr:rowOff>
    </xdr:to>
    <xdr:graphicFrame macro="">
      <xdr:nvGraphicFramePr>
        <xdr:cNvPr id="5" name="Chart 4">
          <a:extLst>
            <a:ext uri="{FF2B5EF4-FFF2-40B4-BE49-F238E27FC236}">
              <a16:creationId xmlns:a16="http://schemas.microsoft.com/office/drawing/2014/main" id="{EAB2427E-FCB4-8981-36E2-FB78BABBD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3</xdr:row>
      <xdr:rowOff>7620</xdr:rowOff>
    </xdr:from>
    <xdr:to>
      <xdr:col>26</xdr:col>
      <xdr:colOff>137160</xdr:colOff>
      <xdr:row>30</xdr:row>
      <xdr:rowOff>167640</xdr:rowOff>
    </xdr:to>
    <xdr:sp macro="" textlink="">
      <xdr:nvSpPr>
        <xdr:cNvPr id="4" name="Rectangle 3">
          <a:extLst>
            <a:ext uri="{FF2B5EF4-FFF2-40B4-BE49-F238E27FC236}">
              <a16:creationId xmlns:a16="http://schemas.microsoft.com/office/drawing/2014/main" id="{6CCBE50A-173F-F4B2-477B-7074C3E18CC9}"/>
            </a:ext>
          </a:extLst>
        </xdr:cNvPr>
        <xdr:cNvSpPr/>
      </xdr:nvSpPr>
      <xdr:spPr>
        <a:xfrm>
          <a:off x="30480" y="533400"/>
          <a:ext cx="14371320" cy="4892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160020</xdr:colOff>
      <xdr:row>3</xdr:row>
      <xdr:rowOff>144780</xdr:rowOff>
    </xdr:from>
    <xdr:to>
      <xdr:col>3</xdr:col>
      <xdr:colOff>342900</xdr:colOff>
      <xdr:row>18</xdr:row>
      <xdr:rowOff>97155</xdr:rowOff>
    </xdr:to>
    <mc:AlternateContent xmlns:mc="http://schemas.openxmlformats.org/markup-compatibility/2006" xmlns:a14="http://schemas.microsoft.com/office/drawing/2010/main">
      <mc:Choice Requires="a14">
        <xdr:graphicFrame macro="">
          <xdr:nvGraphicFramePr>
            <xdr:cNvPr id="5" name="Year 5">
              <a:extLst>
                <a:ext uri="{FF2B5EF4-FFF2-40B4-BE49-F238E27FC236}">
                  <a16:creationId xmlns:a16="http://schemas.microsoft.com/office/drawing/2014/main" id="{DE78E064-81F9-402D-8492-B3958A22B37D}"/>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60020" y="670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502920</xdr:colOff>
      <xdr:row>3</xdr:row>
      <xdr:rowOff>121920</xdr:rowOff>
    </xdr:from>
    <xdr:to>
      <xdr:col>12</xdr:col>
      <xdr:colOff>137160</xdr:colOff>
      <xdr:row>19</xdr:row>
      <xdr:rowOff>60960</xdr:rowOff>
    </xdr:to>
    <xdr:graphicFrame macro="">
      <xdr:nvGraphicFramePr>
        <xdr:cNvPr id="6" name="Chart 5">
          <a:extLst>
            <a:ext uri="{FF2B5EF4-FFF2-40B4-BE49-F238E27FC236}">
              <a16:creationId xmlns:a16="http://schemas.microsoft.com/office/drawing/2014/main" id="{26B076B9-7AEE-42D8-835A-5DE419061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243840</xdr:colOff>
      <xdr:row>3</xdr:row>
      <xdr:rowOff>160020</xdr:rowOff>
    </xdr:from>
    <xdr:to>
      <xdr:col>15</xdr:col>
      <xdr:colOff>426720</xdr:colOff>
      <xdr:row>18</xdr:row>
      <xdr:rowOff>112395</xdr:rowOff>
    </xdr:to>
    <mc:AlternateContent xmlns:mc="http://schemas.openxmlformats.org/markup-compatibility/2006" xmlns:a14="http://schemas.microsoft.com/office/drawing/2010/main">
      <mc:Choice Requires="a14">
        <xdr:graphicFrame macro="">
          <xdr:nvGraphicFramePr>
            <xdr:cNvPr id="2" name="Year 7">
              <a:extLst>
                <a:ext uri="{FF2B5EF4-FFF2-40B4-BE49-F238E27FC236}">
                  <a16:creationId xmlns:a16="http://schemas.microsoft.com/office/drawing/2014/main" id="{94A3E340-C5E1-4BBA-AD7E-5DEE92715B4E}"/>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6827520" y="685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541020</xdr:colOff>
      <xdr:row>3</xdr:row>
      <xdr:rowOff>152400</xdr:rowOff>
    </xdr:from>
    <xdr:to>
      <xdr:col>24</xdr:col>
      <xdr:colOff>175260</xdr:colOff>
      <xdr:row>19</xdr:row>
      <xdr:rowOff>91440</xdr:rowOff>
    </xdr:to>
    <xdr:graphicFrame macro="">
      <xdr:nvGraphicFramePr>
        <xdr:cNvPr id="3" name="Chart 2">
          <a:extLst>
            <a:ext uri="{FF2B5EF4-FFF2-40B4-BE49-F238E27FC236}">
              <a16:creationId xmlns:a16="http://schemas.microsoft.com/office/drawing/2014/main" id="{8D5A2163-B91D-473E-941F-3282AECA5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1417320</xdr:colOff>
      <xdr:row>27</xdr:row>
      <xdr:rowOff>22860</xdr:rowOff>
    </xdr:from>
    <xdr:to>
      <xdr:col>6</xdr:col>
      <xdr:colOff>99060</xdr:colOff>
      <xdr:row>41</xdr:row>
      <xdr:rowOff>150495</xdr:rowOff>
    </xdr:to>
    <mc:AlternateContent xmlns:mc="http://schemas.openxmlformats.org/markup-compatibility/2006" xmlns:a14="http://schemas.microsoft.com/office/drawing/2010/main">
      <mc:Choice Requires="a14">
        <xdr:graphicFrame macro="">
          <xdr:nvGraphicFramePr>
            <xdr:cNvPr id="2" name="Group">
              <a:extLst>
                <a:ext uri="{FF2B5EF4-FFF2-40B4-BE49-F238E27FC236}">
                  <a16:creationId xmlns:a16="http://schemas.microsoft.com/office/drawing/2014/main" id="{39D54367-75B0-24A0-85CC-E0B99543DDE0}"/>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1417320" y="4754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438150</xdr:colOff>
      <xdr:row>26</xdr:row>
      <xdr:rowOff>22860</xdr:rowOff>
    </xdr:from>
    <xdr:to>
      <xdr:col>11</xdr:col>
      <xdr:colOff>140970</xdr:colOff>
      <xdr:row>41</xdr:row>
      <xdr:rowOff>137160</xdr:rowOff>
    </xdr:to>
    <xdr:graphicFrame macro="">
      <xdr:nvGraphicFramePr>
        <xdr:cNvPr id="3" name="Chart 2">
          <a:extLst>
            <a:ext uri="{FF2B5EF4-FFF2-40B4-BE49-F238E27FC236}">
              <a16:creationId xmlns:a16="http://schemas.microsoft.com/office/drawing/2014/main" id="{86E5C943-DE51-1A99-8CB2-18B5AB186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4</xdr:row>
      <xdr:rowOff>76200</xdr:rowOff>
    </xdr:from>
    <xdr:to>
      <xdr:col>12</xdr:col>
      <xdr:colOff>114300</xdr:colOff>
      <xdr:row>19</xdr:row>
      <xdr:rowOff>28575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863122F-6953-DFB3-5119-6BE30F92B4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65620" y="777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541020</xdr:colOff>
      <xdr:row>11</xdr:row>
      <xdr:rowOff>129540</xdr:rowOff>
    </xdr:from>
    <xdr:to>
      <xdr:col>5</xdr:col>
      <xdr:colOff>175260</xdr:colOff>
      <xdr:row>26</xdr:row>
      <xdr:rowOff>81915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A0C7526B-ED8E-6C9D-CE76-517C587C4B2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89660" y="2720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refreshedDate="45908.706825810186" createdVersion="8" refreshedVersion="8" minRefreshableVersion="3" recordCount="13" xr:uid="{318969E5-2F12-4B47-BA5C-84E83BA16D53}">
  <cacheSource type="worksheet">
    <worksheetSource ref="A2:H15" sheet="Report"/>
  </cacheSource>
  <cacheFields count="8">
    <cacheField name="Group" numFmtId="0">
      <sharedItems count="4">
        <s v="Solvency Ratios"/>
        <s v="Liquidity Ratios"/>
        <s v="Efficiency Ratios"/>
        <s v="Profitability Ratios "/>
      </sharedItems>
    </cacheField>
    <cacheField name="Year" numFmtId="0">
      <sharedItems count="13">
        <s v="Debt-Equity Ratio"/>
        <s v="Long Term Debt-Equity Ratio"/>
        <s v="Current Ratio"/>
        <s v="Fixed Assets Turnover Ratio"/>
        <s v="Inventory Turnover Ratio"/>
        <s v="Debtors Turnover Ratio"/>
        <s v="Total Asset Turnover Ratio"/>
        <s v="Interest Cover Ratio"/>
        <s v="PBIDTM (%)"/>
        <s v="PBITM (%)"/>
        <s v="PBDTM (%)"/>
        <s v="ROCE (%)"/>
        <s v="RONW (%)"/>
      </sharedItems>
    </cacheField>
    <cacheField name="2025" numFmtId="0">
      <sharedItems containsSemiMixedTypes="0" containsString="0" containsNumber="1" minValue="0.24" maxValue="31.13"/>
    </cacheField>
    <cacheField name="2024" numFmtId="0">
      <sharedItems containsSemiMixedTypes="0" containsString="0" containsNumber="1" minValue="0.4" maxValue="28.78"/>
    </cacheField>
    <cacheField name="2023" numFmtId="0">
      <sharedItems containsSemiMixedTypes="0" containsString="0" containsNumber="1" minValue="0.27" maxValue="32.43"/>
    </cacheField>
    <cacheField name="2022" numFmtId="0">
      <sharedItems containsSemiMixedTypes="0" containsString="0" containsNumber="1" minValue="-5.19" maxValue="24.56"/>
    </cacheField>
    <cacheField name="2021" numFmtId="0">
      <sharedItems containsSemiMixedTypes="0" containsString="0" containsNumber="1" minValue="0.13" maxValue="17.350000000000001"/>
    </cacheField>
    <cacheField name="2020" numFmtId="0">
      <sharedItems containsSemiMixedTypes="0" containsString="0" containsNumber="1" minValue="0.06" maxValue="33.69"/>
    </cacheField>
  </cacheFields>
  <extLst>
    <ext xmlns:x14="http://schemas.microsoft.com/office/spreadsheetml/2009/9/main" uri="{725AE2AE-9491-48be-B2B4-4EB974FC3084}">
      <x14:pivotCacheDefinition pivotCacheId="228330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refreshedDate="45908.709959143518" createdVersion="8" refreshedVersion="8" minRefreshableVersion="3" recordCount="10" xr:uid="{DFC6B123-DC45-4373-BAB9-BCD3A994C55E}">
  <cacheSource type="worksheet">
    <worksheetSource ref="A1:N11" sheet="Pivot Table Year"/>
  </cacheSource>
  <cacheFields count="14">
    <cacheField name="Year" numFmtId="0">
      <sharedItems containsSemiMixedTypes="0" containsString="0" containsNumber="1" containsInteger="1" minValue="2016" maxValue="2025" count="10">
        <n v="2025"/>
        <n v="2024"/>
        <n v="2023"/>
        <n v="2022"/>
        <n v="2021"/>
        <n v="2020"/>
        <n v="2019"/>
        <n v="2018"/>
        <n v="2017"/>
        <n v="2016"/>
      </sharedItems>
    </cacheField>
    <cacheField name="Debt-Equity Ratio" numFmtId="0">
      <sharedItems containsSemiMixedTypes="0" containsString="0" containsNumber="1" minValue="0.24" maxValue="0.47"/>
    </cacheField>
    <cacheField name="Long Term Debt-Equity Ratio" numFmtId="0">
      <sharedItems containsSemiMixedTypes="0" containsString="0" containsNumber="1" minValue="0.05" maxValue="0.4"/>
    </cacheField>
    <cacheField name="Current Ratio" numFmtId="0">
      <sharedItems containsSemiMixedTypes="0" containsString="0" containsNumber="1" minValue="0.57999999999999996" maxValue="2.39"/>
    </cacheField>
    <cacheField name="Fixed Assets Turnover Ratio" numFmtId="0">
      <sharedItems containsSemiMixedTypes="0" containsString="0" containsNumber="1" minValue="0.94" maxValue="1.71"/>
    </cacheField>
    <cacheField name="Inventory Turnover Ratio" numFmtId="0">
      <sharedItems containsSemiMixedTypes="0" containsString="0" containsNumber="1" minValue="3.51" maxValue="6.38"/>
    </cacheField>
    <cacheField name="Debtors Turnover Ratio" numFmtId="0">
      <sharedItems containsSemiMixedTypes="0" containsString="0" containsNumber="1" minValue="2" maxValue="4.1399999999999997"/>
    </cacheField>
    <cacheField name="Total Asset Turnover Ratio" numFmtId="0">
      <sharedItems containsSemiMixedTypes="0" containsString="0" containsNumber="1" minValue="0.26" maxValue="0.66"/>
    </cacheField>
    <cacheField name="Interest Cover Ratio" numFmtId="0">
      <sharedItems containsSemiMixedTypes="0" containsString="0" containsNumber="1" minValue="-1.34" maxValue="10.9"/>
    </cacheField>
    <cacheField name="PBIDTM (%)" numFmtId="0">
      <sharedItems containsSemiMixedTypes="0" containsString="0" containsNumber="1" minValue="-3.91" maxValue="33.69"/>
    </cacheField>
    <cacheField name="PBITM (%)" numFmtId="0">
      <sharedItems containsSemiMixedTypes="0" containsString="0" containsNumber="1" minValue="-9.81" maxValue="29.21"/>
    </cacheField>
    <cacheField name="PBDTM (%)" numFmtId="0">
      <sharedItems containsSemiMixedTypes="0" containsString="0" containsNumber="1" minValue="-11.21" maxValue="30.44"/>
    </cacheField>
    <cacheField name="ROCE (%)" numFmtId="0">
      <sharedItems containsSemiMixedTypes="0" containsString="0" containsNumber="1" minValue="-2.5099999999999998" maxValue="16.29"/>
    </cacheField>
    <cacheField name="RONW (%)" numFmtId="0">
      <sharedItems containsSemiMixedTypes="0" containsString="0" containsNumber="1" minValue="-6.04" maxValue="17.829999999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refreshedDate="45908.710428472223" createdVersion="8" refreshedVersion="8" minRefreshableVersion="3" recordCount="6" xr:uid="{59A88175-3928-4165-A1CF-9B1E126CF3C2}">
  <cacheSource type="worksheet">
    <worksheetSource ref="A1:N7" sheet="Pivot Table Year"/>
  </cacheSource>
  <cacheFields count="14">
    <cacheField name="Year" numFmtId="0">
      <sharedItems containsSemiMixedTypes="0" containsString="0" containsNumber="1" containsInteger="1" minValue="2020" maxValue="2025" count="6">
        <n v="2025"/>
        <n v="2024"/>
        <n v="2023"/>
        <n v="2022"/>
        <n v="2021"/>
        <n v="2020"/>
      </sharedItems>
    </cacheField>
    <cacheField name="Debt-Equity Ratio" numFmtId="0">
      <sharedItems containsSemiMixedTypes="0" containsString="0" containsNumber="1" minValue="0.24" maxValue="0.47"/>
    </cacheField>
    <cacheField name="Long Term Debt-Equity Ratio" numFmtId="0">
      <sharedItems containsSemiMixedTypes="0" containsString="0" containsNumber="1" minValue="0.06" maxValue="0.4"/>
    </cacheField>
    <cacheField name="Current Ratio" numFmtId="0">
      <sharedItems containsSemiMixedTypes="0" containsString="0" containsNumber="1" minValue="1" maxValue="2.39"/>
    </cacheField>
    <cacheField name="Fixed Assets Turnover Ratio" numFmtId="0">
      <sharedItems containsSemiMixedTypes="0" containsString="0" containsNumber="1" minValue="0.94" maxValue="1.6"/>
    </cacheField>
    <cacheField name="Inventory Turnover Ratio" numFmtId="0">
      <sharedItems containsSemiMixedTypes="0" containsString="0" containsNumber="1" minValue="4.57" maxValue="6.38"/>
    </cacheField>
    <cacheField name="Debtors Turnover Ratio" numFmtId="0">
      <sharedItems containsSemiMixedTypes="0" containsString="0" containsNumber="1" minValue="2.21" maxValue="3.66"/>
    </cacheField>
    <cacheField name="Total Asset Turnover Ratio" numFmtId="0">
      <sharedItems containsSemiMixedTypes="0" containsString="0" containsNumber="1" minValue="0.41" maxValue="0.66"/>
    </cacheField>
    <cacheField name="Interest Cover Ratio" numFmtId="0">
      <sharedItems containsSemiMixedTypes="0" containsString="0" containsNumber="1" minValue="4.53" maxValue="10.9"/>
    </cacheField>
    <cacheField name="PBIDTM (%)" numFmtId="0">
      <sharedItems containsSemiMixedTypes="0" containsString="0" containsNumber="1" minValue="17.350000000000001" maxValue="33.69"/>
    </cacheField>
    <cacheField name="PBITM (%)" numFmtId="0">
      <sharedItems containsSemiMixedTypes="0" containsString="0" containsNumber="1" minValue="8.59" maxValue="29.21"/>
    </cacheField>
    <cacheField name="PBDTM (%)" numFmtId="0">
      <sharedItems containsSemiMixedTypes="0" containsString="0" containsNumber="1" minValue="15.45" maxValue="30.44"/>
    </cacheField>
    <cacheField name="ROCE (%)" numFmtId="0">
      <sharedItems containsSemiMixedTypes="0" containsString="0" containsNumber="1" minValue="3.57" maxValue="16.29"/>
    </cacheField>
    <cacheField name="RONW (%)" numFmtId="0">
      <sharedItems containsSemiMixedTypes="0" containsString="0" containsNumber="1" minValue="-5.19" maxValue="17.829999999999998"/>
    </cacheField>
  </cacheFields>
  <extLst>
    <ext xmlns:x14="http://schemas.microsoft.com/office/spreadsheetml/2009/9/main" uri="{725AE2AE-9491-48be-B2B4-4EB974FC3084}">
      <x14:pivotCacheDefinition pivotCacheId="82011321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refreshedDate="45908.716158333336" createdVersion="8" refreshedVersion="8" minRefreshableVersion="3" recordCount="6" xr:uid="{03BE3123-22B5-4B3A-96F7-B50B9AF3A246}">
  <cacheSource type="worksheet">
    <worksheetSource ref="A2:H8" sheet="Dupont"/>
  </cacheSource>
  <cacheFields count="7">
    <cacheField name="Year" numFmtId="0">
      <sharedItems containsSemiMixedTypes="0" containsString="0" containsNumber="1" containsInteger="1" minValue="2020" maxValue="2025" count="6">
        <n v="2025"/>
        <n v="2024"/>
        <n v="2023"/>
        <n v="2022"/>
        <n v="2021"/>
        <n v="2020"/>
      </sharedItems>
    </cacheField>
    <cacheField name="PBIDT/Sales(%)" numFmtId="0">
      <sharedItems containsSemiMixedTypes="0" containsString="0" containsNumber="1" minValue="13.12" maxValue="33.69"/>
    </cacheField>
    <cacheField name="Sales/Net Assets" numFmtId="0">
      <sharedItems containsSemiMixedTypes="0" containsString="0" containsNumber="1" minValue="0.39" maxValue="0.64"/>
    </cacheField>
    <cacheField name="PBDIT/Net Assets" numFmtId="0">
      <sharedItems containsSemiMixedTypes="0" containsString="0" containsNumber="1" minValue="7.0000000000000007E-2" maxValue="0.2"/>
    </cacheField>
    <cacheField name="PAT/PBIDT(%)" numFmtId="0">
      <sharedItems containsSemiMixedTypes="0" containsString="0" containsNumber="1" minValue="-4.8899999999999997" maxValue="76.05"/>
    </cacheField>
    <cacheField name="Net Assets/Net Worth" numFmtId="0">
      <sharedItems containsSemiMixedTypes="0" containsString="0" containsNumber="1" minValue="1.25" maxValue="1.55"/>
    </cacheField>
    <cacheField name="ROE(%)" numFmtId="0">
      <sharedItems containsSemiMixedTypes="0" containsString="0" containsNumber="1" minValue="-5.19" maxValue="17.829999999999998"/>
    </cacheField>
  </cacheFields>
  <extLst>
    <ext xmlns:x14="http://schemas.microsoft.com/office/spreadsheetml/2009/9/main" uri="{725AE2AE-9491-48be-B2B4-4EB974FC3084}">
      <x14:pivotCacheDefinition pivotCacheId="8917135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refreshedDate="45908.821788773152" createdVersion="8" refreshedVersion="8" minRefreshableVersion="3" recordCount="6" xr:uid="{959C510D-5084-4714-9AD2-7A10F9954111}">
  <cacheSource type="worksheet">
    <worksheetSource ref="M21:S27" sheet="Dupont"/>
  </cacheSource>
  <cacheFields count="7">
    <cacheField name="Year" numFmtId="0">
      <sharedItems count="6">
        <s v="PBIDT/Sales(%)"/>
        <s v="Sales/Net Assets"/>
        <s v="PBDIT/Net Assets"/>
        <s v="PAT/PBIDT(%)"/>
        <s v="Net Assets/Net Worth"/>
        <s v="ROE(%)"/>
      </sharedItems>
    </cacheField>
    <cacheField name="2025" numFmtId="0">
      <sharedItems containsSemiMixedTypes="0" containsString="0" containsNumber="1" minValue="0.2" maxValue="59.8"/>
    </cacheField>
    <cacheField name="2024" numFmtId="0">
      <sharedItems containsSemiMixedTypes="0" containsString="0" containsNumber="1" minValue="0.16" maxValue="48.99"/>
    </cacheField>
    <cacheField name="2023" numFmtId="0">
      <sharedItems containsSemiMixedTypes="0" containsString="0" containsNumber="1" minValue="0.12" maxValue="44.33"/>
    </cacheField>
    <cacheField name="2022" numFmtId="0">
      <sharedItems containsSemiMixedTypes="0" containsString="0" containsNumber="1" minValue="-5.19" maxValue="13.12"/>
    </cacheField>
    <cacheField name="2021" numFmtId="0">
      <sharedItems containsSemiMixedTypes="0" containsString="0" containsNumber="1" minValue="7.0000000000000007E-2" maxValue="35.700000000000003"/>
    </cacheField>
    <cacheField name="2020" numFmtId="0">
      <sharedItems containsSemiMixedTypes="0" containsString="0" containsNumber="1" minValue="0.13" maxValue="76.05"/>
    </cacheField>
  </cacheFields>
  <extLst>
    <ext xmlns:x14="http://schemas.microsoft.com/office/spreadsheetml/2009/9/main" uri="{725AE2AE-9491-48be-B2B4-4EB974FC3084}">
      <x14:pivotCacheDefinition pivotCacheId="950522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n v="0.47"/>
    <n v="0.4"/>
    <n v="0.27"/>
    <n v="0.24"/>
    <n v="0.27"/>
    <n v="0.27"/>
  </r>
  <r>
    <x v="0"/>
    <x v="1"/>
    <n v="0.24"/>
    <n v="0.4"/>
    <n v="0.27"/>
    <n v="0.2"/>
    <n v="0.13"/>
    <n v="0.06"/>
  </r>
  <r>
    <x v="1"/>
    <x v="2"/>
    <n v="1.54"/>
    <n v="2.39"/>
    <n v="1.42"/>
    <n v="1.18"/>
    <n v="1.25"/>
    <n v="1"/>
  </r>
  <r>
    <x v="2"/>
    <x v="3"/>
    <n v="1.25"/>
    <n v="1.1299999999999999"/>
    <n v="1.19"/>
    <n v="0.94"/>
    <n v="1.17"/>
    <n v="1.6"/>
  </r>
  <r>
    <x v="2"/>
    <x v="4"/>
    <n v="6.38"/>
    <n v="5.47"/>
    <n v="5.63"/>
    <n v="4.57"/>
    <n v="4.66"/>
    <n v="4.62"/>
  </r>
  <r>
    <x v="2"/>
    <x v="5"/>
    <n v="2.2400000000000002"/>
    <n v="2.54"/>
    <n v="3.66"/>
    <n v="2.88"/>
    <n v="2.21"/>
    <n v="2.2400000000000002"/>
  </r>
  <r>
    <x v="2"/>
    <x v="6"/>
    <n v="0.63"/>
    <n v="0.59"/>
    <n v="0.66"/>
    <n v="0.47"/>
    <n v="0.42"/>
    <n v="0.41"/>
  </r>
  <r>
    <x v="0"/>
    <x v="7"/>
    <n v="6.63"/>
    <n v="5.4"/>
    <n v="10.9"/>
    <n v="6.39"/>
    <n v="4.53"/>
    <n v="8.9700000000000006"/>
  </r>
  <r>
    <x v="3"/>
    <x v="8"/>
    <n v="31.13"/>
    <n v="28.78"/>
    <n v="32.43"/>
    <n v="24.56"/>
    <n v="17.350000000000001"/>
    <n v="33.69"/>
  </r>
  <r>
    <x v="3"/>
    <x v="9"/>
    <n v="25.75"/>
    <n v="20.88"/>
    <n v="24.73"/>
    <n v="15.9"/>
    <n v="8.59"/>
    <n v="29.21"/>
  </r>
  <r>
    <x v="3"/>
    <x v="10"/>
    <n v="27.25"/>
    <n v="24.91"/>
    <n v="30.16"/>
    <n v="22.07"/>
    <n v="15.45"/>
    <n v="30.44"/>
  </r>
  <r>
    <x v="3"/>
    <x v="11"/>
    <n v="16.29"/>
    <n v="12.22"/>
    <n v="16.260000000000002"/>
    <n v="7.47"/>
    <n v="3.57"/>
    <n v="11.85"/>
  </r>
  <r>
    <x v="3"/>
    <x v="12"/>
    <n v="17.829999999999998"/>
    <n v="12.05"/>
    <n v="13.89"/>
    <n v="-5.19"/>
    <n v="3.53"/>
    <n v="1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0.47"/>
    <n v="0.24"/>
    <n v="1.54"/>
    <n v="1.25"/>
    <n v="6.38"/>
    <n v="2.2400000000000002"/>
    <n v="0.63"/>
    <n v="6.63"/>
    <n v="31.13"/>
    <n v="25.75"/>
    <n v="27.25"/>
    <n v="16.29"/>
    <n v="17.829999999999998"/>
  </r>
  <r>
    <x v="1"/>
    <n v="0.4"/>
    <n v="0.4"/>
    <n v="2.39"/>
    <n v="1.1299999999999999"/>
    <n v="5.47"/>
    <n v="2.54"/>
    <n v="0.59"/>
    <n v="5.4"/>
    <n v="28.78"/>
    <n v="20.88"/>
    <n v="24.91"/>
    <n v="12.22"/>
    <n v="12.05"/>
  </r>
  <r>
    <x v="2"/>
    <n v="0.27"/>
    <n v="0.27"/>
    <n v="1.42"/>
    <n v="1.19"/>
    <n v="5.63"/>
    <n v="3.66"/>
    <n v="0.66"/>
    <n v="10.9"/>
    <n v="32.43"/>
    <n v="24.73"/>
    <n v="30.16"/>
    <n v="16.260000000000002"/>
    <n v="13.89"/>
  </r>
  <r>
    <x v="3"/>
    <n v="0.24"/>
    <n v="0.2"/>
    <n v="1.18"/>
    <n v="0.94"/>
    <n v="4.57"/>
    <n v="2.88"/>
    <n v="0.47"/>
    <n v="6.39"/>
    <n v="24.56"/>
    <n v="15.9"/>
    <n v="22.07"/>
    <n v="7.47"/>
    <n v="-5.19"/>
  </r>
  <r>
    <x v="4"/>
    <n v="0.27"/>
    <n v="0.13"/>
    <n v="1.25"/>
    <n v="1.17"/>
    <n v="4.66"/>
    <n v="2.21"/>
    <n v="0.42"/>
    <n v="4.53"/>
    <n v="17.350000000000001"/>
    <n v="8.59"/>
    <n v="15.45"/>
    <n v="3.57"/>
    <n v="3.53"/>
  </r>
  <r>
    <x v="5"/>
    <n v="0.27"/>
    <n v="0.06"/>
    <n v="1"/>
    <n v="1.6"/>
    <n v="4.62"/>
    <n v="2.2400000000000002"/>
    <n v="0.41"/>
    <n v="8.9700000000000006"/>
    <n v="33.69"/>
    <n v="29.21"/>
    <n v="30.44"/>
    <n v="11.85"/>
    <n v="13.6"/>
  </r>
  <r>
    <x v="6"/>
    <n v="0.28999999999999998"/>
    <n v="7.0000000000000007E-2"/>
    <n v="0.85"/>
    <n v="1.47"/>
    <n v="4.18"/>
    <n v="2"/>
    <n v="0.35"/>
    <n v="4.2699999999999996"/>
    <n v="27.8"/>
    <n v="22.43"/>
    <n v="22.55"/>
    <n v="7.83"/>
    <n v="8.26"/>
  </r>
  <r>
    <x v="7"/>
    <n v="0.3"/>
    <n v="0.05"/>
    <n v="0.74"/>
    <n v="1.56"/>
    <n v="4.05"/>
    <n v="2.2599999999999998"/>
    <n v="0.31"/>
    <n v="3.82"/>
    <n v="21.88"/>
    <n v="16.47"/>
    <n v="17.57"/>
    <n v="5.14"/>
    <n v="5.14"/>
  </r>
  <r>
    <x v="8"/>
    <n v="0.28000000000000003"/>
    <n v="0.06"/>
    <n v="0.67"/>
    <n v="1.71"/>
    <n v="3.51"/>
    <n v="3.31"/>
    <n v="0.27"/>
    <n v="-0.19"/>
    <n v="4.8600000000000003"/>
    <n v="-0.56000000000000005"/>
    <n v="1.99"/>
    <n v="-0.15"/>
    <n v="-1.24"/>
  </r>
  <r>
    <x v="9"/>
    <n v="0.28000000000000003"/>
    <n v="7.0000000000000007E-2"/>
    <n v="0.57999999999999996"/>
    <n v="1.56"/>
    <n v="3.64"/>
    <n v="4.1399999999999997"/>
    <n v="0.26"/>
    <n v="-1.34"/>
    <n v="-3.91"/>
    <n v="-9.81"/>
    <n v="-11.21"/>
    <n v="-2.5099999999999998"/>
    <n v="-6.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47"/>
    <n v="0.24"/>
    <n v="1.54"/>
    <n v="1.25"/>
    <n v="6.38"/>
    <n v="2.2400000000000002"/>
    <n v="0.63"/>
    <n v="6.63"/>
    <n v="31.13"/>
    <n v="25.75"/>
    <n v="27.25"/>
    <n v="16.29"/>
    <n v="17.829999999999998"/>
  </r>
  <r>
    <x v="1"/>
    <n v="0.4"/>
    <n v="0.4"/>
    <n v="2.39"/>
    <n v="1.1299999999999999"/>
    <n v="5.47"/>
    <n v="2.54"/>
    <n v="0.59"/>
    <n v="5.4"/>
    <n v="28.78"/>
    <n v="20.88"/>
    <n v="24.91"/>
    <n v="12.22"/>
    <n v="12.05"/>
  </r>
  <r>
    <x v="2"/>
    <n v="0.27"/>
    <n v="0.27"/>
    <n v="1.42"/>
    <n v="1.19"/>
    <n v="5.63"/>
    <n v="3.66"/>
    <n v="0.66"/>
    <n v="10.9"/>
    <n v="32.43"/>
    <n v="24.73"/>
    <n v="30.16"/>
    <n v="16.260000000000002"/>
    <n v="13.89"/>
  </r>
  <r>
    <x v="3"/>
    <n v="0.24"/>
    <n v="0.2"/>
    <n v="1.18"/>
    <n v="0.94"/>
    <n v="4.57"/>
    <n v="2.88"/>
    <n v="0.47"/>
    <n v="6.39"/>
    <n v="24.56"/>
    <n v="15.9"/>
    <n v="22.07"/>
    <n v="7.47"/>
    <n v="-5.19"/>
  </r>
  <r>
    <x v="4"/>
    <n v="0.27"/>
    <n v="0.13"/>
    <n v="1.25"/>
    <n v="1.17"/>
    <n v="4.66"/>
    <n v="2.21"/>
    <n v="0.42"/>
    <n v="4.53"/>
    <n v="17.350000000000001"/>
    <n v="8.59"/>
    <n v="15.45"/>
    <n v="3.57"/>
    <n v="3.53"/>
  </r>
  <r>
    <x v="5"/>
    <n v="0.27"/>
    <n v="0.06"/>
    <n v="1"/>
    <n v="1.6"/>
    <n v="4.62"/>
    <n v="2.2400000000000002"/>
    <n v="0.41"/>
    <n v="8.9700000000000006"/>
    <n v="33.69"/>
    <n v="29.21"/>
    <n v="30.44"/>
    <n v="11.85"/>
    <n v="13.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1.13"/>
    <n v="0.64"/>
    <n v="0.2"/>
    <n v="59.8"/>
    <n v="1.48"/>
    <n v="17.829999999999998"/>
  </r>
  <r>
    <x v="1"/>
    <n v="28.78"/>
    <n v="0.55000000000000004"/>
    <n v="0.16"/>
    <n v="48.99"/>
    <n v="1.55"/>
    <n v="12.05"/>
  </r>
  <r>
    <x v="2"/>
    <n v="18.329999999999998"/>
    <n v="0.64"/>
    <n v="0.12"/>
    <n v="44.33"/>
    <n v="1.37"/>
    <n v="13.89"/>
  </r>
  <r>
    <x v="3"/>
    <n v="13.12"/>
    <n v="0.51"/>
    <n v="7.0000000000000007E-2"/>
    <n v="-4.8899999999999997"/>
    <n v="1.25"/>
    <n v="-5.19"/>
  </r>
  <r>
    <x v="4"/>
    <n v="16.72"/>
    <n v="0.4"/>
    <n v="7.0000000000000007E-2"/>
    <n v="35.700000000000003"/>
    <n v="1.32"/>
    <n v="3.53"/>
  </r>
  <r>
    <x v="5"/>
    <n v="33.69"/>
    <n v="0.39"/>
    <n v="0.13"/>
    <n v="76.05"/>
    <n v="1.33"/>
    <n v="1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1.13"/>
    <n v="28.78"/>
    <n v="18.329999999999998"/>
    <n v="13.12"/>
    <n v="16.72"/>
    <n v="33.69"/>
  </r>
  <r>
    <x v="1"/>
    <n v="0.64"/>
    <n v="0.55000000000000004"/>
    <n v="0.64"/>
    <n v="0.51"/>
    <n v="0.4"/>
    <n v="0.39"/>
  </r>
  <r>
    <x v="2"/>
    <n v="0.2"/>
    <n v="0.16"/>
    <n v="0.12"/>
    <n v="7.0000000000000007E-2"/>
    <n v="7.0000000000000007E-2"/>
    <n v="0.13"/>
  </r>
  <r>
    <x v="3"/>
    <n v="59.8"/>
    <n v="48.99"/>
    <n v="44.33"/>
    <n v="-4.8899999999999997"/>
    <n v="35.700000000000003"/>
    <n v="76.05"/>
  </r>
  <r>
    <x v="4"/>
    <n v="1.48"/>
    <n v="1.55"/>
    <n v="1.37"/>
    <n v="1.25"/>
    <n v="1.32"/>
    <n v="1.33"/>
  </r>
  <r>
    <x v="5"/>
    <n v="17.829999999999998"/>
    <n v="12.05"/>
    <n v="13.89"/>
    <n v="-5.19"/>
    <n v="3.53"/>
    <n v="1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D69465-A0C2-4777-A257-00909581D6FF}"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6:I18" firstHeaderRow="0" firstDataRow="1" firstDataCol="1"/>
  <pivotFields count="7">
    <pivotField axis="axisRow" showAll="0">
      <items count="7">
        <item x="5"/>
        <item h="1" x="4"/>
        <item h="1" x="3"/>
        <item h="1" x="2"/>
        <item h="1" x="1"/>
        <item h="1" x="0"/>
        <item t="default"/>
      </items>
    </pivotField>
    <pivotField dataField="1" showAll="0"/>
    <pivotField dataField="1" showAll="0"/>
    <pivotField dataField="1" showAll="0"/>
    <pivotField dataField="1" showAll="0"/>
    <pivotField dataField="1" showAll="0"/>
    <pivotField dataField="1" showAll="0"/>
  </pivotFields>
  <rowFields count="1">
    <field x="0"/>
  </rowFields>
  <rowItems count="2">
    <i>
      <x/>
    </i>
    <i t="grand">
      <x/>
    </i>
  </rowItems>
  <colFields count="1">
    <field x="-2"/>
  </colFields>
  <colItems count="6">
    <i>
      <x/>
    </i>
    <i i="1">
      <x v="1"/>
    </i>
    <i i="2">
      <x v="2"/>
    </i>
    <i i="3">
      <x v="3"/>
    </i>
    <i i="4">
      <x v="4"/>
    </i>
    <i i="5">
      <x v="5"/>
    </i>
  </colItems>
  <dataFields count="6">
    <dataField name=" PBIDT/Sales(%) Ratio" fld="1" baseField="0" baseItem="0"/>
    <dataField name="Sales/Net Assets Ratio" fld="2" baseField="0" baseItem="0"/>
    <dataField name="PBDIT/Net Assets Ratios" fld="3" baseField="0" baseItem="0"/>
    <dataField name=" PAT/PBIDT(%) Ratio" fld="4" baseField="0" baseItem="0"/>
    <dataField name=" Net Assets/Net Worth Ratio" fld="5" baseField="0" baseItem="0"/>
    <dataField name=" ROE(%) Ratio" fld="6"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935A8F-3463-4608-92C6-33FE9D56FF8A}"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4:S36" firstHeaderRow="0" firstDataRow="1" firstDataCol="1"/>
  <pivotFields count="7">
    <pivotField axis="axisRow" showAll="0">
      <items count="7">
        <item h="1" x="4"/>
        <item h="1" x="3"/>
        <item h="1" x="2"/>
        <item h="1" x="0"/>
        <item x="5"/>
        <item h="1" x="1"/>
        <item t="default"/>
      </items>
    </pivotField>
    <pivotField dataField="1" showAll="0"/>
    <pivotField dataField="1" showAll="0"/>
    <pivotField dataField="1" showAll="0"/>
    <pivotField dataField="1" showAll="0"/>
    <pivotField dataField="1" showAll="0"/>
    <pivotField showAll="0"/>
  </pivotFields>
  <rowFields count="1">
    <field x="0"/>
  </rowFields>
  <rowItems count="2">
    <i>
      <x v="4"/>
    </i>
    <i t="grand">
      <x/>
    </i>
  </rowItems>
  <colFields count="1">
    <field x="-2"/>
  </colFields>
  <colItems count="5">
    <i>
      <x/>
    </i>
    <i i="1">
      <x v="1"/>
    </i>
    <i i="2">
      <x v="2"/>
    </i>
    <i i="3">
      <x v="3"/>
    </i>
    <i i="4">
      <x v="4"/>
    </i>
  </colItems>
  <dataFields count="5">
    <dataField name="Sum of 2025" fld="1" baseField="0" baseItem="0"/>
    <dataField name="Sum of 2024" fld="2" baseField="0" baseItem="0"/>
    <dataField name="Sum of 2023" fld="3" baseField="0" baseItem="0"/>
    <dataField name="Sum of 2022" fld="4" baseField="0" baseItem="0"/>
    <dataField name="Sum of 2021" fld="5" baseField="0" baseItem="0"/>
  </dataFields>
  <chartFormats count="1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2" format="10">
      <pivotArea type="data" outline="0" fieldPosition="0">
        <references count="2">
          <reference field="4294967294" count="1" selected="0">
            <x v="0"/>
          </reference>
          <reference field="0" count="1" selected="0">
            <x v="4"/>
          </reference>
        </references>
      </pivotArea>
    </chartFormat>
    <chartFormat chart="2" format="1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1">
          <reference field="4294967294" count="1" selected="0">
            <x v="1"/>
          </reference>
        </references>
      </pivotArea>
    </chartFormat>
    <chartFormat chart="2" format="13">
      <pivotArea type="data" outline="0" fieldPosition="0">
        <references count="2">
          <reference field="4294967294" count="1" selected="0">
            <x v="1"/>
          </reference>
          <reference field="0" count="1" selected="0">
            <x v="0"/>
          </reference>
        </references>
      </pivotArea>
    </chartFormat>
    <chartFormat chart="2" format="14">
      <pivotArea type="data" outline="0" fieldPosition="0">
        <references count="2">
          <reference field="4294967294" count="1" selected="0">
            <x v="1"/>
          </reference>
          <reference field="0" count="1" selected="0">
            <x v="1"/>
          </reference>
        </references>
      </pivotArea>
    </chartFormat>
    <chartFormat chart="2" format="15">
      <pivotArea type="data" outline="0" fieldPosition="0">
        <references count="2">
          <reference field="4294967294" count="1" selected="0">
            <x v="1"/>
          </reference>
          <reference field="0" count="1" selected="0">
            <x v="2"/>
          </reference>
        </references>
      </pivotArea>
    </chartFormat>
    <chartFormat chart="2" format="16">
      <pivotArea type="data" outline="0" fieldPosition="0">
        <references count="2">
          <reference field="4294967294" count="1" selected="0">
            <x v="1"/>
          </reference>
          <reference field="0" count="1" selected="0">
            <x v="3"/>
          </reference>
        </references>
      </pivotArea>
    </chartFormat>
    <chartFormat chart="2" format="17">
      <pivotArea type="data" outline="0" fieldPosition="0">
        <references count="2">
          <reference field="4294967294" count="1" selected="0">
            <x v="1"/>
          </reference>
          <reference field="0" count="1" selected="0">
            <x v="4"/>
          </reference>
        </references>
      </pivotArea>
    </chartFormat>
    <chartFormat chart="2" format="18">
      <pivotArea type="data" outline="0" fieldPosition="0">
        <references count="2">
          <reference field="4294967294" count="1" selected="0">
            <x v="1"/>
          </reference>
          <reference field="0" count="1" selected="0">
            <x v="5"/>
          </reference>
        </references>
      </pivotArea>
    </chartFormat>
    <chartFormat chart="2" format="19" series="1">
      <pivotArea type="data" outline="0" fieldPosition="0">
        <references count="1">
          <reference field="4294967294" count="1" selected="0">
            <x v="2"/>
          </reference>
        </references>
      </pivotArea>
    </chartFormat>
    <chartFormat chart="2" format="20">
      <pivotArea type="data" outline="0" fieldPosition="0">
        <references count="2">
          <reference field="4294967294" count="1" selected="0">
            <x v="2"/>
          </reference>
          <reference field="0" count="1" selected="0">
            <x v="0"/>
          </reference>
        </references>
      </pivotArea>
    </chartFormat>
    <chartFormat chart="2" format="21">
      <pivotArea type="data" outline="0" fieldPosition="0">
        <references count="2">
          <reference field="4294967294" count="1" selected="0">
            <x v="2"/>
          </reference>
          <reference field="0" count="1" selected="0">
            <x v="1"/>
          </reference>
        </references>
      </pivotArea>
    </chartFormat>
    <chartFormat chart="2" format="22">
      <pivotArea type="data" outline="0" fieldPosition="0">
        <references count="2">
          <reference field="4294967294" count="1" selected="0">
            <x v="2"/>
          </reference>
          <reference field="0" count="1" selected="0">
            <x v="2"/>
          </reference>
        </references>
      </pivotArea>
    </chartFormat>
    <chartFormat chart="2" format="23">
      <pivotArea type="data" outline="0" fieldPosition="0">
        <references count="2">
          <reference field="4294967294" count="1" selected="0">
            <x v="2"/>
          </reference>
          <reference field="0" count="1" selected="0">
            <x v="3"/>
          </reference>
        </references>
      </pivotArea>
    </chartFormat>
    <chartFormat chart="2" format="24">
      <pivotArea type="data" outline="0" fieldPosition="0">
        <references count="2">
          <reference field="4294967294" count="1" selected="0">
            <x v="2"/>
          </reference>
          <reference field="0" count="1" selected="0">
            <x v="4"/>
          </reference>
        </references>
      </pivotArea>
    </chartFormat>
    <chartFormat chart="2" format="25">
      <pivotArea type="data" outline="0" fieldPosition="0">
        <references count="2">
          <reference field="4294967294" count="1" selected="0">
            <x v="2"/>
          </reference>
          <reference field="0" count="1" selected="0">
            <x v="5"/>
          </reference>
        </references>
      </pivotArea>
    </chartFormat>
    <chartFormat chart="2" format="26" series="1">
      <pivotArea type="data" outline="0" fieldPosition="0">
        <references count="1">
          <reference field="4294967294" count="1" selected="0">
            <x v="3"/>
          </reference>
        </references>
      </pivotArea>
    </chartFormat>
    <chartFormat chart="2" format="27">
      <pivotArea type="data" outline="0" fieldPosition="0">
        <references count="2">
          <reference field="4294967294" count="1" selected="0">
            <x v="3"/>
          </reference>
          <reference field="0" count="1" selected="0">
            <x v="0"/>
          </reference>
        </references>
      </pivotArea>
    </chartFormat>
    <chartFormat chart="2" format="28">
      <pivotArea type="data" outline="0" fieldPosition="0">
        <references count="2">
          <reference field="4294967294" count="1" selected="0">
            <x v="3"/>
          </reference>
          <reference field="0" count="1" selected="0">
            <x v="1"/>
          </reference>
        </references>
      </pivotArea>
    </chartFormat>
    <chartFormat chart="2" format="29">
      <pivotArea type="data" outline="0" fieldPosition="0">
        <references count="2">
          <reference field="4294967294" count="1" selected="0">
            <x v="3"/>
          </reference>
          <reference field="0" count="1" selected="0">
            <x v="2"/>
          </reference>
        </references>
      </pivotArea>
    </chartFormat>
    <chartFormat chart="2" format="30">
      <pivotArea type="data" outline="0" fieldPosition="0">
        <references count="2">
          <reference field="4294967294" count="1" selected="0">
            <x v="3"/>
          </reference>
          <reference field="0" count="1" selected="0">
            <x v="3"/>
          </reference>
        </references>
      </pivotArea>
    </chartFormat>
    <chartFormat chart="2" format="31">
      <pivotArea type="data" outline="0" fieldPosition="0">
        <references count="2">
          <reference field="4294967294" count="1" selected="0">
            <x v="3"/>
          </reference>
          <reference field="0" count="1" selected="0">
            <x v="4"/>
          </reference>
        </references>
      </pivotArea>
    </chartFormat>
    <chartFormat chart="2" format="32">
      <pivotArea type="data" outline="0" fieldPosition="0">
        <references count="2">
          <reference field="4294967294" count="1" selected="0">
            <x v="3"/>
          </reference>
          <reference field="0" count="1" selected="0">
            <x v="5"/>
          </reference>
        </references>
      </pivotArea>
    </chartFormat>
    <chartFormat chart="2" format="33" series="1">
      <pivotArea type="data" outline="0" fieldPosition="0">
        <references count="1">
          <reference field="4294967294" count="1" selected="0">
            <x v="4"/>
          </reference>
        </references>
      </pivotArea>
    </chartFormat>
    <chartFormat chart="2" format="34">
      <pivotArea type="data" outline="0" fieldPosition="0">
        <references count="2">
          <reference field="4294967294" count="1" selected="0">
            <x v="4"/>
          </reference>
          <reference field="0" count="1" selected="0">
            <x v="0"/>
          </reference>
        </references>
      </pivotArea>
    </chartFormat>
    <chartFormat chart="2" format="35">
      <pivotArea type="data" outline="0" fieldPosition="0">
        <references count="2">
          <reference field="4294967294" count="1" selected="0">
            <x v="4"/>
          </reference>
          <reference field="0" count="1" selected="0">
            <x v="1"/>
          </reference>
        </references>
      </pivotArea>
    </chartFormat>
    <chartFormat chart="2" format="36">
      <pivotArea type="data" outline="0" fieldPosition="0">
        <references count="2">
          <reference field="4294967294" count="1" selected="0">
            <x v="4"/>
          </reference>
          <reference field="0" count="1" selected="0">
            <x v="2"/>
          </reference>
        </references>
      </pivotArea>
    </chartFormat>
    <chartFormat chart="2" format="37">
      <pivotArea type="data" outline="0" fieldPosition="0">
        <references count="2">
          <reference field="4294967294" count="1" selected="0">
            <x v="4"/>
          </reference>
          <reference field="0" count="1" selected="0">
            <x v="3"/>
          </reference>
        </references>
      </pivotArea>
    </chartFormat>
    <chartFormat chart="2" format="38">
      <pivotArea type="data" outline="0" fieldPosition="0">
        <references count="2">
          <reference field="4294967294" count="1" selected="0">
            <x v="4"/>
          </reference>
          <reference field="0" count="1" selected="0">
            <x v="4"/>
          </reference>
        </references>
      </pivotArea>
    </chartFormat>
    <chartFormat chart="2" format="39">
      <pivotArea type="data" outline="0" fieldPosition="0">
        <references count="2">
          <reference field="4294967294" count="1" selected="0">
            <x v="4"/>
          </reference>
          <reference field="0" count="1" selected="0">
            <x v="5"/>
          </reference>
        </references>
      </pivotArea>
    </chartFormat>
    <chartFormat chart="3" format="40" series="1">
      <pivotArea type="data" outline="0" fieldPosition="0">
        <references count="1">
          <reference field="4294967294" count="1" selected="0">
            <x v="0"/>
          </reference>
        </references>
      </pivotArea>
    </chartFormat>
    <chartFormat chart="3" format="41">
      <pivotArea type="data" outline="0" fieldPosition="0">
        <references count="2">
          <reference field="4294967294" count="1" selected="0">
            <x v="0"/>
          </reference>
          <reference field="0" count="1" selected="0">
            <x v="0"/>
          </reference>
        </references>
      </pivotArea>
    </chartFormat>
    <chartFormat chart="3" format="42">
      <pivotArea type="data" outline="0" fieldPosition="0">
        <references count="2">
          <reference field="4294967294" count="1" selected="0">
            <x v="0"/>
          </reference>
          <reference field="0" count="1" selected="0">
            <x v="1"/>
          </reference>
        </references>
      </pivotArea>
    </chartFormat>
    <chartFormat chart="3" format="43">
      <pivotArea type="data" outline="0" fieldPosition="0">
        <references count="2">
          <reference field="4294967294" count="1" selected="0">
            <x v="0"/>
          </reference>
          <reference field="0" count="1" selected="0">
            <x v="2"/>
          </reference>
        </references>
      </pivotArea>
    </chartFormat>
    <chartFormat chart="3" format="44">
      <pivotArea type="data" outline="0" fieldPosition="0">
        <references count="2">
          <reference field="4294967294" count="1" selected="0">
            <x v="0"/>
          </reference>
          <reference field="0" count="1" selected="0">
            <x v="3"/>
          </reference>
        </references>
      </pivotArea>
    </chartFormat>
    <chartFormat chart="3" format="45">
      <pivotArea type="data" outline="0" fieldPosition="0">
        <references count="2">
          <reference field="4294967294" count="1" selected="0">
            <x v="0"/>
          </reference>
          <reference field="0" count="1" selected="0">
            <x v="4"/>
          </reference>
        </references>
      </pivotArea>
    </chartFormat>
    <chartFormat chart="3" format="46">
      <pivotArea type="data" outline="0" fieldPosition="0">
        <references count="2">
          <reference field="4294967294" count="1" selected="0">
            <x v="0"/>
          </reference>
          <reference field="0" count="1" selected="0">
            <x v="5"/>
          </reference>
        </references>
      </pivotArea>
    </chartFormat>
    <chartFormat chart="3" format="47" series="1">
      <pivotArea type="data" outline="0" fieldPosition="0">
        <references count="1">
          <reference field="4294967294" count="1" selected="0">
            <x v="1"/>
          </reference>
        </references>
      </pivotArea>
    </chartFormat>
    <chartFormat chart="3" format="48">
      <pivotArea type="data" outline="0" fieldPosition="0">
        <references count="2">
          <reference field="4294967294" count="1" selected="0">
            <x v="1"/>
          </reference>
          <reference field="0" count="1" selected="0">
            <x v="0"/>
          </reference>
        </references>
      </pivotArea>
    </chartFormat>
    <chartFormat chart="3" format="49">
      <pivotArea type="data" outline="0" fieldPosition="0">
        <references count="2">
          <reference field="4294967294" count="1" selected="0">
            <x v="1"/>
          </reference>
          <reference field="0" count="1" selected="0">
            <x v="1"/>
          </reference>
        </references>
      </pivotArea>
    </chartFormat>
    <chartFormat chart="3" format="50">
      <pivotArea type="data" outline="0" fieldPosition="0">
        <references count="2">
          <reference field="4294967294" count="1" selected="0">
            <x v="1"/>
          </reference>
          <reference field="0" count="1" selected="0">
            <x v="2"/>
          </reference>
        </references>
      </pivotArea>
    </chartFormat>
    <chartFormat chart="3" format="51">
      <pivotArea type="data" outline="0" fieldPosition="0">
        <references count="2">
          <reference field="4294967294" count="1" selected="0">
            <x v="1"/>
          </reference>
          <reference field="0" count="1" selected="0">
            <x v="3"/>
          </reference>
        </references>
      </pivotArea>
    </chartFormat>
    <chartFormat chart="3" format="52">
      <pivotArea type="data" outline="0" fieldPosition="0">
        <references count="2">
          <reference field="4294967294" count="1" selected="0">
            <x v="1"/>
          </reference>
          <reference field="0" count="1" selected="0">
            <x v="4"/>
          </reference>
        </references>
      </pivotArea>
    </chartFormat>
    <chartFormat chart="3" format="53">
      <pivotArea type="data" outline="0" fieldPosition="0">
        <references count="2">
          <reference field="4294967294" count="1" selected="0">
            <x v="1"/>
          </reference>
          <reference field="0" count="1" selected="0">
            <x v="5"/>
          </reference>
        </references>
      </pivotArea>
    </chartFormat>
    <chartFormat chart="3" format="54" series="1">
      <pivotArea type="data" outline="0" fieldPosition="0">
        <references count="1">
          <reference field="4294967294" count="1" selected="0">
            <x v="2"/>
          </reference>
        </references>
      </pivotArea>
    </chartFormat>
    <chartFormat chart="3" format="55">
      <pivotArea type="data" outline="0" fieldPosition="0">
        <references count="2">
          <reference field="4294967294" count="1" selected="0">
            <x v="2"/>
          </reference>
          <reference field="0" count="1" selected="0">
            <x v="0"/>
          </reference>
        </references>
      </pivotArea>
    </chartFormat>
    <chartFormat chart="3" format="56">
      <pivotArea type="data" outline="0" fieldPosition="0">
        <references count="2">
          <reference field="4294967294" count="1" selected="0">
            <x v="2"/>
          </reference>
          <reference field="0" count="1" selected="0">
            <x v="1"/>
          </reference>
        </references>
      </pivotArea>
    </chartFormat>
    <chartFormat chart="3" format="57">
      <pivotArea type="data" outline="0" fieldPosition="0">
        <references count="2">
          <reference field="4294967294" count="1" selected="0">
            <x v="2"/>
          </reference>
          <reference field="0" count="1" selected="0">
            <x v="2"/>
          </reference>
        </references>
      </pivotArea>
    </chartFormat>
    <chartFormat chart="3" format="58">
      <pivotArea type="data" outline="0" fieldPosition="0">
        <references count="2">
          <reference field="4294967294" count="1" selected="0">
            <x v="2"/>
          </reference>
          <reference field="0" count="1" selected="0">
            <x v="3"/>
          </reference>
        </references>
      </pivotArea>
    </chartFormat>
    <chartFormat chart="3" format="59">
      <pivotArea type="data" outline="0" fieldPosition="0">
        <references count="2">
          <reference field="4294967294" count="1" selected="0">
            <x v="2"/>
          </reference>
          <reference field="0" count="1" selected="0">
            <x v="4"/>
          </reference>
        </references>
      </pivotArea>
    </chartFormat>
    <chartFormat chart="3" format="60">
      <pivotArea type="data" outline="0" fieldPosition="0">
        <references count="2">
          <reference field="4294967294" count="1" selected="0">
            <x v="2"/>
          </reference>
          <reference field="0" count="1" selected="0">
            <x v="5"/>
          </reference>
        </references>
      </pivotArea>
    </chartFormat>
    <chartFormat chart="3" format="61" series="1">
      <pivotArea type="data" outline="0" fieldPosition="0">
        <references count="1">
          <reference field="4294967294" count="1" selected="0">
            <x v="3"/>
          </reference>
        </references>
      </pivotArea>
    </chartFormat>
    <chartFormat chart="3" format="62">
      <pivotArea type="data" outline="0" fieldPosition="0">
        <references count="2">
          <reference field="4294967294" count="1" selected="0">
            <x v="3"/>
          </reference>
          <reference field="0" count="1" selected="0">
            <x v="0"/>
          </reference>
        </references>
      </pivotArea>
    </chartFormat>
    <chartFormat chart="3" format="63">
      <pivotArea type="data" outline="0" fieldPosition="0">
        <references count="2">
          <reference field="4294967294" count="1" selected="0">
            <x v="3"/>
          </reference>
          <reference field="0" count="1" selected="0">
            <x v="1"/>
          </reference>
        </references>
      </pivotArea>
    </chartFormat>
    <chartFormat chart="3" format="64">
      <pivotArea type="data" outline="0" fieldPosition="0">
        <references count="2">
          <reference field="4294967294" count="1" selected="0">
            <x v="3"/>
          </reference>
          <reference field="0" count="1" selected="0">
            <x v="2"/>
          </reference>
        </references>
      </pivotArea>
    </chartFormat>
    <chartFormat chart="3" format="65">
      <pivotArea type="data" outline="0" fieldPosition="0">
        <references count="2">
          <reference field="4294967294" count="1" selected="0">
            <x v="3"/>
          </reference>
          <reference field="0" count="1" selected="0">
            <x v="3"/>
          </reference>
        </references>
      </pivotArea>
    </chartFormat>
    <chartFormat chart="3" format="66">
      <pivotArea type="data" outline="0" fieldPosition="0">
        <references count="2">
          <reference field="4294967294" count="1" selected="0">
            <x v="3"/>
          </reference>
          <reference field="0" count="1" selected="0">
            <x v="4"/>
          </reference>
        </references>
      </pivotArea>
    </chartFormat>
    <chartFormat chart="3" format="67">
      <pivotArea type="data" outline="0" fieldPosition="0">
        <references count="2">
          <reference field="4294967294" count="1" selected="0">
            <x v="3"/>
          </reference>
          <reference field="0" count="1" selected="0">
            <x v="5"/>
          </reference>
        </references>
      </pivotArea>
    </chartFormat>
    <chartFormat chart="3" format="68" series="1">
      <pivotArea type="data" outline="0" fieldPosition="0">
        <references count="1">
          <reference field="4294967294" count="1" selected="0">
            <x v="4"/>
          </reference>
        </references>
      </pivotArea>
    </chartFormat>
    <chartFormat chart="3" format="69">
      <pivotArea type="data" outline="0" fieldPosition="0">
        <references count="2">
          <reference field="4294967294" count="1" selected="0">
            <x v="4"/>
          </reference>
          <reference field="0" count="1" selected="0">
            <x v="0"/>
          </reference>
        </references>
      </pivotArea>
    </chartFormat>
    <chartFormat chart="3" format="70">
      <pivotArea type="data" outline="0" fieldPosition="0">
        <references count="2">
          <reference field="4294967294" count="1" selected="0">
            <x v="4"/>
          </reference>
          <reference field="0" count="1" selected="0">
            <x v="1"/>
          </reference>
        </references>
      </pivotArea>
    </chartFormat>
    <chartFormat chart="3" format="71">
      <pivotArea type="data" outline="0" fieldPosition="0">
        <references count="2">
          <reference field="4294967294" count="1" selected="0">
            <x v="4"/>
          </reference>
          <reference field="0" count="1" selected="0">
            <x v="2"/>
          </reference>
        </references>
      </pivotArea>
    </chartFormat>
    <chartFormat chart="3" format="72">
      <pivotArea type="data" outline="0" fieldPosition="0">
        <references count="2">
          <reference field="4294967294" count="1" selected="0">
            <x v="4"/>
          </reference>
          <reference field="0" count="1" selected="0">
            <x v="3"/>
          </reference>
        </references>
      </pivotArea>
    </chartFormat>
    <chartFormat chart="3" format="73">
      <pivotArea type="data" outline="0" fieldPosition="0">
        <references count="2">
          <reference field="4294967294" count="1" selected="0">
            <x v="4"/>
          </reference>
          <reference field="0" count="1" selected="0">
            <x v="4"/>
          </reference>
        </references>
      </pivotArea>
    </chartFormat>
    <chartFormat chart="3" format="74">
      <pivotArea type="data" outline="0" fieldPosition="0">
        <references count="2">
          <reference field="4294967294" count="1" selected="0">
            <x v="4"/>
          </reference>
          <reference field="0" count="1" selected="0">
            <x v="5"/>
          </reference>
        </references>
      </pivotArea>
    </chartFormat>
    <chartFormat chart="4" format="40" series="1">
      <pivotArea type="data" outline="0" fieldPosition="0">
        <references count="1">
          <reference field="4294967294" count="1" selected="0">
            <x v="0"/>
          </reference>
        </references>
      </pivotArea>
    </chartFormat>
    <chartFormat chart="4" format="41">
      <pivotArea type="data" outline="0" fieldPosition="0">
        <references count="2">
          <reference field="4294967294" count="1" selected="0">
            <x v="0"/>
          </reference>
          <reference field="0" count="1" selected="0">
            <x v="0"/>
          </reference>
        </references>
      </pivotArea>
    </chartFormat>
    <chartFormat chart="4" format="42">
      <pivotArea type="data" outline="0" fieldPosition="0">
        <references count="2">
          <reference field="4294967294" count="1" selected="0">
            <x v="0"/>
          </reference>
          <reference field="0" count="1" selected="0">
            <x v="1"/>
          </reference>
        </references>
      </pivotArea>
    </chartFormat>
    <chartFormat chart="4" format="43">
      <pivotArea type="data" outline="0" fieldPosition="0">
        <references count="2">
          <reference field="4294967294" count="1" selected="0">
            <x v="0"/>
          </reference>
          <reference field="0" count="1" selected="0">
            <x v="2"/>
          </reference>
        </references>
      </pivotArea>
    </chartFormat>
    <chartFormat chart="4" format="44">
      <pivotArea type="data" outline="0" fieldPosition="0">
        <references count="2">
          <reference field="4294967294" count="1" selected="0">
            <x v="0"/>
          </reference>
          <reference field="0" count="1" selected="0">
            <x v="3"/>
          </reference>
        </references>
      </pivotArea>
    </chartFormat>
    <chartFormat chart="4" format="45">
      <pivotArea type="data" outline="0" fieldPosition="0">
        <references count="2">
          <reference field="4294967294" count="1" selected="0">
            <x v="0"/>
          </reference>
          <reference field="0" count="1" selected="0">
            <x v="4"/>
          </reference>
        </references>
      </pivotArea>
    </chartFormat>
    <chartFormat chart="4" format="46">
      <pivotArea type="data" outline="0" fieldPosition="0">
        <references count="2">
          <reference field="4294967294" count="1" selected="0">
            <x v="0"/>
          </reference>
          <reference field="0" count="1" selected="0">
            <x v="5"/>
          </reference>
        </references>
      </pivotArea>
    </chartFormat>
    <chartFormat chart="4" format="47" series="1">
      <pivotArea type="data" outline="0" fieldPosition="0">
        <references count="1">
          <reference field="4294967294" count="1" selected="0">
            <x v="1"/>
          </reference>
        </references>
      </pivotArea>
    </chartFormat>
    <chartFormat chart="4" format="48">
      <pivotArea type="data" outline="0" fieldPosition="0">
        <references count="2">
          <reference field="4294967294" count="1" selected="0">
            <x v="1"/>
          </reference>
          <reference field="0" count="1" selected="0">
            <x v="0"/>
          </reference>
        </references>
      </pivotArea>
    </chartFormat>
    <chartFormat chart="4" format="49">
      <pivotArea type="data" outline="0" fieldPosition="0">
        <references count="2">
          <reference field="4294967294" count="1" selected="0">
            <x v="1"/>
          </reference>
          <reference field="0" count="1" selected="0">
            <x v="1"/>
          </reference>
        </references>
      </pivotArea>
    </chartFormat>
    <chartFormat chart="4" format="50">
      <pivotArea type="data" outline="0" fieldPosition="0">
        <references count="2">
          <reference field="4294967294" count="1" selected="0">
            <x v="1"/>
          </reference>
          <reference field="0" count="1" selected="0">
            <x v="2"/>
          </reference>
        </references>
      </pivotArea>
    </chartFormat>
    <chartFormat chart="4" format="51">
      <pivotArea type="data" outline="0" fieldPosition="0">
        <references count="2">
          <reference field="4294967294" count="1" selected="0">
            <x v="1"/>
          </reference>
          <reference field="0" count="1" selected="0">
            <x v="3"/>
          </reference>
        </references>
      </pivotArea>
    </chartFormat>
    <chartFormat chart="4" format="52">
      <pivotArea type="data" outline="0" fieldPosition="0">
        <references count="2">
          <reference field="4294967294" count="1" selected="0">
            <x v="1"/>
          </reference>
          <reference field="0" count="1" selected="0">
            <x v="4"/>
          </reference>
        </references>
      </pivotArea>
    </chartFormat>
    <chartFormat chart="4" format="53">
      <pivotArea type="data" outline="0" fieldPosition="0">
        <references count="2">
          <reference field="4294967294" count="1" selected="0">
            <x v="1"/>
          </reference>
          <reference field="0" count="1" selected="0">
            <x v="5"/>
          </reference>
        </references>
      </pivotArea>
    </chartFormat>
    <chartFormat chart="4" format="54" series="1">
      <pivotArea type="data" outline="0" fieldPosition="0">
        <references count="1">
          <reference field="4294967294" count="1" selected="0">
            <x v="2"/>
          </reference>
        </references>
      </pivotArea>
    </chartFormat>
    <chartFormat chart="4" format="55">
      <pivotArea type="data" outline="0" fieldPosition="0">
        <references count="2">
          <reference field="4294967294" count="1" selected="0">
            <x v="2"/>
          </reference>
          <reference field="0" count="1" selected="0">
            <x v="0"/>
          </reference>
        </references>
      </pivotArea>
    </chartFormat>
    <chartFormat chart="4" format="56">
      <pivotArea type="data" outline="0" fieldPosition="0">
        <references count="2">
          <reference field="4294967294" count="1" selected="0">
            <x v="2"/>
          </reference>
          <reference field="0" count="1" selected="0">
            <x v="1"/>
          </reference>
        </references>
      </pivotArea>
    </chartFormat>
    <chartFormat chart="4" format="57">
      <pivotArea type="data" outline="0" fieldPosition="0">
        <references count="2">
          <reference field="4294967294" count="1" selected="0">
            <x v="2"/>
          </reference>
          <reference field="0" count="1" selected="0">
            <x v="2"/>
          </reference>
        </references>
      </pivotArea>
    </chartFormat>
    <chartFormat chart="4" format="58">
      <pivotArea type="data" outline="0" fieldPosition="0">
        <references count="2">
          <reference field="4294967294" count="1" selected="0">
            <x v="2"/>
          </reference>
          <reference field="0" count="1" selected="0">
            <x v="3"/>
          </reference>
        </references>
      </pivotArea>
    </chartFormat>
    <chartFormat chart="4" format="59">
      <pivotArea type="data" outline="0" fieldPosition="0">
        <references count="2">
          <reference field="4294967294" count="1" selected="0">
            <x v="2"/>
          </reference>
          <reference field="0" count="1" selected="0">
            <x v="4"/>
          </reference>
        </references>
      </pivotArea>
    </chartFormat>
    <chartFormat chart="4" format="60">
      <pivotArea type="data" outline="0" fieldPosition="0">
        <references count="2">
          <reference field="4294967294" count="1" selected="0">
            <x v="2"/>
          </reference>
          <reference field="0" count="1" selected="0">
            <x v="5"/>
          </reference>
        </references>
      </pivotArea>
    </chartFormat>
    <chartFormat chart="4" format="61" series="1">
      <pivotArea type="data" outline="0" fieldPosition="0">
        <references count="1">
          <reference field="4294967294" count="1" selected="0">
            <x v="3"/>
          </reference>
        </references>
      </pivotArea>
    </chartFormat>
    <chartFormat chart="4" format="62">
      <pivotArea type="data" outline="0" fieldPosition="0">
        <references count="2">
          <reference field="4294967294" count="1" selected="0">
            <x v="3"/>
          </reference>
          <reference field="0" count="1" selected="0">
            <x v="0"/>
          </reference>
        </references>
      </pivotArea>
    </chartFormat>
    <chartFormat chart="4" format="63">
      <pivotArea type="data" outline="0" fieldPosition="0">
        <references count="2">
          <reference field="4294967294" count="1" selected="0">
            <x v="3"/>
          </reference>
          <reference field="0" count="1" selected="0">
            <x v="1"/>
          </reference>
        </references>
      </pivotArea>
    </chartFormat>
    <chartFormat chart="4" format="64">
      <pivotArea type="data" outline="0" fieldPosition="0">
        <references count="2">
          <reference field="4294967294" count="1" selected="0">
            <x v="3"/>
          </reference>
          <reference field="0" count="1" selected="0">
            <x v="2"/>
          </reference>
        </references>
      </pivotArea>
    </chartFormat>
    <chartFormat chart="4" format="65">
      <pivotArea type="data" outline="0" fieldPosition="0">
        <references count="2">
          <reference field="4294967294" count="1" selected="0">
            <x v="3"/>
          </reference>
          <reference field="0" count="1" selected="0">
            <x v="3"/>
          </reference>
        </references>
      </pivotArea>
    </chartFormat>
    <chartFormat chart="4" format="66">
      <pivotArea type="data" outline="0" fieldPosition="0">
        <references count="2">
          <reference field="4294967294" count="1" selected="0">
            <x v="3"/>
          </reference>
          <reference field="0" count="1" selected="0">
            <x v="4"/>
          </reference>
        </references>
      </pivotArea>
    </chartFormat>
    <chartFormat chart="4" format="67">
      <pivotArea type="data" outline="0" fieldPosition="0">
        <references count="2">
          <reference field="4294967294" count="1" selected="0">
            <x v="3"/>
          </reference>
          <reference field="0" count="1" selected="0">
            <x v="5"/>
          </reference>
        </references>
      </pivotArea>
    </chartFormat>
    <chartFormat chart="4" format="68" series="1">
      <pivotArea type="data" outline="0" fieldPosition="0">
        <references count="1">
          <reference field="4294967294" count="1" selected="0">
            <x v="4"/>
          </reference>
        </references>
      </pivotArea>
    </chartFormat>
    <chartFormat chart="4" format="69">
      <pivotArea type="data" outline="0" fieldPosition="0">
        <references count="2">
          <reference field="4294967294" count="1" selected="0">
            <x v="4"/>
          </reference>
          <reference field="0" count="1" selected="0">
            <x v="0"/>
          </reference>
        </references>
      </pivotArea>
    </chartFormat>
    <chartFormat chart="4" format="70">
      <pivotArea type="data" outline="0" fieldPosition="0">
        <references count="2">
          <reference field="4294967294" count="1" selected="0">
            <x v="4"/>
          </reference>
          <reference field="0" count="1" selected="0">
            <x v="1"/>
          </reference>
        </references>
      </pivotArea>
    </chartFormat>
    <chartFormat chart="4" format="71">
      <pivotArea type="data" outline="0" fieldPosition="0">
        <references count="2">
          <reference field="4294967294" count="1" selected="0">
            <x v="4"/>
          </reference>
          <reference field="0" count="1" selected="0">
            <x v="2"/>
          </reference>
        </references>
      </pivotArea>
    </chartFormat>
    <chartFormat chart="4" format="72">
      <pivotArea type="data" outline="0" fieldPosition="0">
        <references count="2">
          <reference field="4294967294" count="1" selected="0">
            <x v="4"/>
          </reference>
          <reference field="0" count="1" selected="0">
            <x v="3"/>
          </reference>
        </references>
      </pivotArea>
    </chartFormat>
    <chartFormat chart="4" format="73">
      <pivotArea type="data" outline="0" fieldPosition="0">
        <references count="2">
          <reference field="4294967294" count="1" selected="0">
            <x v="4"/>
          </reference>
          <reference field="0" count="1" selected="0">
            <x v="4"/>
          </reference>
        </references>
      </pivotArea>
    </chartFormat>
    <chartFormat chart="4" format="74">
      <pivotArea type="data" outline="0" fieldPosition="0">
        <references count="2">
          <reference field="4294967294" count="1" selected="0">
            <x v="4"/>
          </reference>
          <reference field="0" count="1" selected="0">
            <x v="5"/>
          </reference>
        </references>
      </pivotArea>
    </chartFormat>
    <chartFormat chart="0" format="35">
      <pivotArea type="data" outline="0" fieldPosition="0">
        <references count="2">
          <reference field="4294967294" count="1" selected="0">
            <x v="0"/>
          </reference>
          <reference field="0" count="1" selected="0">
            <x v="0"/>
          </reference>
        </references>
      </pivotArea>
    </chartFormat>
    <chartFormat chart="0" format="36">
      <pivotArea type="data" outline="0" fieldPosition="0">
        <references count="2">
          <reference field="4294967294" count="1" selected="0">
            <x v="0"/>
          </reference>
          <reference field="0" count="1" selected="0">
            <x v="1"/>
          </reference>
        </references>
      </pivotArea>
    </chartFormat>
    <chartFormat chart="0" format="37">
      <pivotArea type="data" outline="0" fieldPosition="0">
        <references count="2">
          <reference field="4294967294" count="1" selected="0">
            <x v="0"/>
          </reference>
          <reference field="0" count="1" selected="0">
            <x v="2"/>
          </reference>
        </references>
      </pivotArea>
    </chartFormat>
    <chartFormat chart="0" format="38">
      <pivotArea type="data" outline="0" fieldPosition="0">
        <references count="2">
          <reference field="4294967294" count="1" selected="0">
            <x v="0"/>
          </reference>
          <reference field="0" count="1" selected="0">
            <x v="3"/>
          </reference>
        </references>
      </pivotArea>
    </chartFormat>
    <chartFormat chart="0" format="39">
      <pivotArea type="data" outline="0" fieldPosition="0">
        <references count="2">
          <reference field="4294967294" count="1" selected="0">
            <x v="0"/>
          </reference>
          <reference field="0" count="1" selected="0">
            <x v="4"/>
          </reference>
        </references>
      </pivotArea>
    </chartFormat>
    <chartFormat chart="0" format="40">
      <pivotArea type="data" outline="0" fieldPosition="0">
        <references count="2">
          <reference field="4294967294" count="1" selected="0">
            <x v="0"/>
          </reference>
          <reference field="0" count="1" selected="0">
            <x v="5"/>
          </reference>
        </references>
      </pivotArea>
    </chartFormat>
    <chartFormat chart="0" format="41">
      <pivotArea type="data" outline="0" fieldPosition="0">
        <references count="2">
          <reference field="4294967294" count="1" selected="0">
            <x v="1"/>
          </reference>
          <reference field="0" count="1" selected="0">
            <x v="0"/>
          </reference>
        </references>
      </pivotArea>
    </chartFormat>
    <chartFormat chart="0" format="42">
      <pivotArea type="data" outline="0" fieldPosition="0">
        <references count="2">
          <reference field="4294967294" count="1" selected="0">
            <x v="1"/>
          </reference>
          <reference field="0" count="1" selected="0">
            <x v="1"/>
          </reference>
        </references>
      </pivotArea>
    </chartFormat>
    <chartFormat chart="0" format="43">
      <pivotArea type="data" outline="0" fieldPosition="0">
        <references count="2">
          <reference field="4294967294" count="1" selected="0">
            <x v="1"/>
          </reference>
          <reference field="0" count="1" selected="0">
            <x v="2"/>
          </reference>
        </references>
      </pivotArea>
    </chartFormat>
    <chartFormat chart="0" format="44">
      <pivotArea type="data" outline="0" fieldPosition="0">
        <references count="2">
          <reference field="4294967294" count="1" selected="0">
            <x v="1"/>
          </reference>
          <reference field="0" count="1" selected="0">
            <x v="3"/>
          </reference>
        </references>
      </pivotArea>
    </chartFormat>
    <chartFormat chart="0" format="45">
      <pivotArea type="data" outline="0" fieldPosition="0">
        <references count="2">
          <reference field="4294967294" count="1" selected="0">
            <x v="1"/>
          </reference>
          <reference field="0" count="1" selected="0">
            <x v="4"/>
          </reference>
        </references>
      </pivotArea>
    </chartFormat>
    <chartFormat chart="0" format="46">
      <pivotArea type="data" outline="0" fieldPosition="0">
        <references count="2">
          <reference field="4294967294" count="1" selected="0">
            <x v="1"/>
          </reference>
          <reference field="0" count="1" selected="0">
            <x v="5"/>
          </reference>
        </references>
      </pivotArea>
    </chartFormat>
    <chartFormat chart="0" format="47">
      <pivotArea type="data" outline="0" fieldPosition="0">
        <references count="2">
          <reference field="4294967294" count="1" selected="0">
            <x v="2"/>
          </reference>
          <reference field="0" count="1" selected="0">
            <x v="0"/>
          </reference>
        </references>
      </pivotArea>
    </chartFormat>
    <chartFormat chart="0" format="48">
      <pivotArea type="data" outline="0" fieldPosition="0">
        <references count="2">
          <reference field="4294967294" count="1" selected="0">
            <x v="2"/>
          </reference>
          <reference field="0" count="1" selected="0">
            <x v="1"/>
          </reference>
        </references>
      </pivotArea>
    </chartFormat>
    <chartFormat chart="0" format="49">
      <pivotArea type="data" outline="0" fieldPosition="0">
        <references count="2">
          <reference field="4294967294" count="1" selected="0">
            <x v="2"/>
          </reference>
          <reference field="0" count="1" selected="0">
            <x v="2"/>
          </reference>
        </references>
      </pivotArea>
    </chartFormat>
    <chartFormat chart="0" format="50">
      <pivotArea type="data" outline="0" fieldPosition="0">
        <references count="2">
          <reference field="4294967294" count="1" selected="0">
            <x v="2"/>
          </reference>
          <reference field="0" count="1" selected="0">
            <x v="3"/>
          </reference>
        </references>
      </pivotArea>
    </chartFormat>
    <chartFormat chart="0" format="51">
      <pivotArea type="data" outline="0" fieldPosition="0">
        <references count="2">
          <reference field="4294967294" count="1" selected="0">
            <x v="2"/>
          </reference>
          <reference field="0" count="1" selected="0">
            <x v="4"/>
          </reference>
        </references>
      </pivotArea>
    </chartFormat>
    <chartFormat chart="0" format="52">
      <pivotArea type="data" outline="0" fieldPosition="0">
        <references count="2">
          <reference field="4294967294" count="1" selected="0">
            <x v="2"/>
          </reference>
          <reference field="0" count="1" selected="0">
            <x v="5"/>
          </reference>
        </references>
      </pivotArea>
    </chartFormat>
    <chartFormat chart="0" format="53">
      <pivotArea type="data" outline="0" fieldPosition="0">
        <references count="2">
          <reference field="4294967294" count="1" selected="0">
            <x v="3"/>
          </reference>
          <reference field="0" count="1" selected="0">
            <x v="0"/>
          </reference>
        </references>
      </pivotArea>
    </chartFormat>
    <chartFormat chart="0" format="54">
      <pivotArea type="data" outline="0" fieldPosition="0">
        <references count="2">
          <reference field="4294967294" count="1" selected="0">
            <x v="3"/>
          </reference>
          <reference field="0" count="1" selected="0">
            <x v="1"/>
          </reference>
        </references>
      </pivotArea>
    </chartFormat>
    <chartFormat chart="0" format="55">
      <pivotArea type="data" outline="0" fieldPosition="0">
        <references count="2">
          <reference field="4294967294" count="1" selected="0">
            <x v="3"/>
          </reference>
          <reference field="0" count="1" selected="0">
            <x v="2"/>
          </reference>
        </references>
      </pivotArea>
    </chartFormat>
    <chartFormat chart="0" format="56">
      <pivotArea type="data" outline="0" fieldPosition="0">
        <references count="2">
          <reference field="4294967294" count="1" selected="0">
            <x v="3"/>
          </reference>
          <reference field="0" count="1" selected="0">
            <x v="3"/>
          </reference>
        </references>
      </pivotArea>
    </chartFormat>
    <chartFormat chart="0" format="57">
      <pivotArea type="data" outline="0" fieldPosition="0">
        <references count="2">
          <reference field="4294967294" count="1" selected="0">
            <x v="3"/>
          </reference>
          <reference field="0" count="1" selected="0">
            <x v="4"/>
          </reference>
        </references>
      </pivotArea>
    </chartFormat>
    <chartFormat chart="0" format="58">
      <pivotArea type="data" outline="0" fieldPosition="0">
        <references count="2">
          <reference field="4294967294" count="1" selected="0">
            <x v="3"/>
          </reference>
          <reference field="0" count="1" selected="0">
            <x v="5"/>
          </reference>
        </references>
      </pivotArea>
    </chartFormat>
    <chartFormat chart="0" format="59">
      <pivotArea type="data" outline="0" fieldPosition="0">
        <references count="2">
          <reference field="4294967294" count="1" selected="0">
            <x v="4"/>
          </reference>
          <reference field="0" count="1" selected="0">
            <x v="0"/>
          </reference>
        </references>
      </pivotArea>
    </chartFormat>
    <chartFormat chart="0" format="60">
      <pivotArea type="data" outline="0" fieldPosition="0">
        <references count="2">
          <reference field="4294967294" count="1" selected="0">
            <x v="4"/>
          </reference>
          <reference field="0" count="1" selected="0">
            <x v="1"/>
          </reference>
        </references>
      </pivotArea>
    </chartFormat>
    <chartFormat chart="0" format="61">
      <pivotArea type="data" outline="0" fieldPosition="0">
        <references count="2">
          <reference field="4294967294" count="1" selected="0">
            <x v="4"/>
          </reference>
          <reference field="0" count="1" selected="0">
            <x v="2"/>
          </reference>
        </references>
      </pivotArea>
    </chartFormat>
    <chartFormat chart="0" format="62">
      <pivotArea type="data" outline="0" fieldPosition="0">
        <references count="2">
          <reference field="4294967294" count="1" selected="0">
            <x v="4"/>
          </reference>
          <reference field="0" count="1" selected="0">
            <x v="3"/>
          </reference>
        </references>
      </pivotArea>
    </chartFormat>
    <chartFormat chart="0" format="63">
      <pivotArea type="data" outline="0" fieldPosition="0">
        <references count="2">
          <reference field="4294967294" count="1" selected="0">
            <x v="4"/>
          </reference>
          <reference field="0" count="1" selected="0">
            <x v="4"/>
          </reference>
        </references>
      </pivotArea>
    </chartFormat>
    <chartFormat chart="0" format="64">
      <pivotArea type="data" outline="0" fieldPosition="0">
        <references count="2">
          <reference field="4294967294" count="1" selected="0">
            <x v="4"/>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DF079-D29C-45B4-8278-F3F98E7B3583}"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6" firstHeaderRow="0" firstDataRow="1" firstDataCol="1"/>
  <pivotFields count="8">
    <pivotField axis="axisRow" showAll="0">
      <items count="5">
        <item h="1" x="2"/>
        <item x="1"/>
        <item h="1" x="3"/>
        <item h="1" x="0"/>
        <item t="default"/>
      </items>
    </pivotField>
    <pivotField axis="axisRow" showAll="0">
      <items count="14">
        <item x="2"/>
        <item h="1" x="0"/>
        <item h="1" x="5"/>
        <item h="1" x="3"/>
        <item h="1" x="7"/>
        <item h="1" x="4"/>
        <item h="1" x="1"/>
        <item h="1" x="10"/>
        <item h="1" x="8"/>
        <item h="1" x="9"/>
        <item h="1" x="11"/>
        <item h="1" x="12"/>
        <item h="1" x="6"/>
        <item t="default"/>
      </items>
    </pivotField>
    <pivotField dataField="1" showAll="0"/>
    <pivotField dataField="1" showAll="0"/>
    <pivotField dataField="1" showAll="0"/>
    <pivotField dataField="1" showAll="0"/>
    <pivotField dataField="1" showAll="0"/>
    <pivotField dataField="1" showAll="0"/>
  </pivotFields>
  <rowFields count="2">
    <field x="0"/>
    <field x="1"/>
  </rowFields>
  <rowItems count="3">
    <i>
      <x v="1"/>
    </i>
    <i r="1">
      <x/>
    </i>
    <i t="grand">
      <x/>
    </i>
  </rowItems>
  <colFields count="1">
    <field x="-2"/>
  </colFields>
  <colItems count="6">
    <i>
      <x/>
    </i>
    <i i="1">
      <x v="1"/>
    </i>
    <i i="2">
      <x v="2"/>
    </i>
    <i i="3">
      <x v="3"/>
    </i>
    <i i="4">
      <x v="4"/>
    </i>
    <i i="5">
      <x v="5"/>
    </i>
  </colItems>
  <dataFields count="6">
    <dataField name="  2025" fld="2" baseField="0" baseItem="3"/>
    <dataField name=" 2024" fld="3" baseField="0" baseItem="3"/>
    <dataField name=" 2023" fld="4" baseField="0" baseItem="3"/>
    <dataField name=" 2022" fld="5" baseField="0" baseItem="3"/>
    <dataField name="  2021 " fld="6" baseField="0" baseItem="3"/>
    <dataField name=" 2020" fld="7" baseField="0" baseItem="3"/>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4" format="1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B48E74-BBCF-4076-AD93-0E17E56297E4}"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F33"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5B0A87-70A7-451A-B209-7EEAD0174135}"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16:W18" firstHeaderRow="0" firstDataRow="1" firstDataCol="1"/>
  <pivotFields count="14">
    <pivotField axis="axisRow" showAll="0">
      <items count="7">
        <item x="5"/>
        <item h="1" x="4"/>
        <item h="1" x="3"/>
        <item h="1" x="2"/>
        <item h="1" x="1"/>
        <item h="1"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
    <i>
      <x/>
    </i>
    <i t="grand">
      <x/>
    </i>
  </rowItems>
  <colFields count="1">
    <field x="-2"/>
  </colFields>
  <colItems count="13">
    <i>
      <x/>
    </i>
    <i i="1">
      <x v="1"/>
    </i>
    <i i="2">
      <x v="2"/>
    </i>
    <i i="3">
      <x v="3"/>
    </i>
    <i i="4">
      <x v="4"/>
    </i>
    <i i="5">
      <x v="5"/>
    </i>
    <i i="6">
      <x v="6"/>
    </i>
    <i i="7">
      <x v="7"/>
    </i>
    <i i="8">
      <x v="8"/>
    </i>
    <i i="9">
      <x v="9"/>
    </i>
    <i i="10">
      <x v="10"/>
    </i>
    <i i="11">
      <x v="11"/>
    </i>
    <i i="12">
      <x v="12"/>
    </i>
  </colItems>
  <dataFields count="13">
    <dataField name="Debt-Equity Ratios" fld="1" baseField="0" baseItem="0"/>
    <dataField name=" Long Term Debt-Equity Ratios" fld="2" baseField="0" baseItem="0"/>
    <dataField name="Current Ratios" fld="3" baseField="0" baseItem="0"/>
    <dataField name=" Fixed Assets Turnover Ratios" fld="4" baseField="0" baseItem="0"/>
    <dataField name="Inventory Turnover Ratios" fld="5" baseField="0" baseItem="0"/>
    <dataField name=" Debtors Turnover Ratios" fld="6" baseField="0" baseItem="0"/>
    <dataField name=" Total Asset Turnover Ratios" fld="7" baseField="0" baseItem="0"/>
    <dataField name=" Interest Cover Ratios" fld="8" baseField="0" baseItem="0"/>
    <dataField name=" PBIDTM (%) Ratios" fld="9" baseField="0" baseItem="0"/>
    <dataField name="PBITM (%) Ratios" fld="10" baseField="0" baseItem="0"/>
    <dataField name="PBDTM (%) Ratios" fld="11" baseField="0" baseItem="0"/>
    <dataField name="ROCE (%) Ratios" fld="12" baseField="0" baseItem="0"/>
    <dataField name=" RONW (%) Ratios" fld="13"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1">
          <reference field="4294967294" count="1" selected="0">
            <x v="12"/>
          </reference>
        </references>
      </pivotArea>
    </chartFormat>
    <chartFormat chart="4" format="26"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1"/>
          </reference>
        </references>
      </pivotArea>
    </chartFormat>
    <chartFormat chart="4" format="28" series="1">
      <pivotArea type="data" outline="0" fieldPosition="0">
        <references count="1">
          <reference field="4294967294" count="1" selected="0">
            <x v="2"/>
          </reference>
        </references>
      </pivotArea>
    </chartFormat>
    <chartFormat chart="4" format="29" series="1">
      <pivotArea type="data" outline="0" fieldPosition="0">
        <references count="1">
          <reference field="4294967294" count="1" selected="0">
            <x v="3"/>
          </reference>
        </references>
      </pivotArea>
    </chartFormat>
    <chartFormat chart="4" format="30" series="1">
      <pivotArea type="data" outline="0" fieldPosition="0">
        <references count="1">
          <reference field="4294967294" count="1" selected="0">
            <x v="4"/>
          </reference>
        </references>
      </pivotArea>
    </chartFormat>
    <chartFormat chart="4" format="31" series="1">
      <pivotArea type="data" outline="0" fieldPosition="0">
        <references count="1">
          <reference field="4294967294" count="1" selected="0">
            <x v="5"/>
          </reference>
        </references>
      </pivotArea>
    </chartFormat>
    <chartFormat chart="4" format="32" series="1">
      <pivotArea type="data" outline="0" fieldPosition="0">
        <references count="1">
          <reference field="4294967294" count="1" selected="0">
            <x v="6"/>
          </reference>
        </references>
      </pivotArea>
    </chartFormat>
    <chartFormat chart="4" format="33" series="1">
      <pivotArea type="data" outline="0" fieldPosition="0">
        <references count="1">
          <reference field="4294967294" count="1" selected="0">
            <x v="7"/>
          </reference>
        </references>
      </pivotArea>
    </chartFormat>
    <chartFormat chart="4" format="34" series="1">
      <pivotArea type="data" outline="0" fieldPosition="0">
        <references count="1">
          <reference field="4294967294" count="1" selected="0">
            <x v="8"/>
          </reference>
        </references>
      </pivotArea>
    </chartFormat>
    <chartFormat chart="4" format="35" series="1">
      <pivotArea type="data" outline="0" fieldPosition="0">
        <references count="1">
          <reference field="4294967294" count="1" selected="0">
            <x v="9"/>
          </reference>
        </references>
      </pivotArea>
    </chartFormat>
    <chartFormat chart="4" format="36" series="1">
      <pivotArea type="data" outline="0" fieldPosition="0">
        <references count="1">
          <reference field="4294967294" count="1" selected="0">
            <x v="10"/>
          </reference>
        </references>
      </pivotArea>
    </chartFormat>
    <chartFormat chart="4" format="37" series="1">
      <pivotArea type="data" outline="0" fieldPosition="0">
        <references count="1">
          <reference field="4294967294" count="1" selected="0">
            <x v="11"/>
          </reference>
        </references>
      </pivotArea>
    </chartFormat>
    <chartFormat chart="4" format="38" series="1">
      <pivotArea type="data" outline="0" fieldPosition="0">
        <references count="1">
          <reference field="429496729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2C15A8AB-0B99-49CB-B20D-D32AD08232D6}" sourceName="Group">
  <pivotTables>
    <pivotTable tabId="12" name="PivotTable7"/>
  </pivotTables>
  <data>
    <tabular pivotCacheId="22833070">
      <items count="4">
        <i x="1" s="1"/>
        <i x="2" nd="1"/>
        <i x="3"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6303CE-4376-4A9D-9830-6662800B3EC6}" sourceName="Year">
  <pivotTables>
    <pivotTable tabId="12" name="PivotTable7"/>
  </pivotTables>
  <data>
    <tabular pivotCacheId="22833070">
      <items count="13">
        <i x="2" s="1"/>
        <i x="0" nd="1"/>
        <i x="5" nd="1"/>
        <i x="3" nd="1"/>
        <i x="7" nd="1"/>
        <i x="4" nd="1"/>
        <i x="1" nd="1"/>
        <i x="10" nd="1"/>
        <i x="8" nd="1"/>
        <i x="9" nd="1"/>
        <i x="11" nd="1"/>
        <i x="12"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F994A99-387A-4ABA-9108-E6769BECF5CF}" sourceName="Year">
  <pivotTables>
    <pivotTable tabId="13" name="PivotTable9"/>
  </pivotTables>
  <data>
    <tabular pivotCacheId="820113210">
      <items count="6">
        <i x="5" s="1"/>
        <i x="4"/>
        <i x="3"/>
        <i x="2"/>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CB07C62-A529-4116-AE1D-5A5A150C3C14}" sourceName="Year">
  <pivotTables>
    <pivotTable tabId="14" name="PivotTable10"/>
  </pivotTables>
  <data>
    <tabular pivotCacheId="89171357">
      <items count="6">
        <i x="5" s="1"/>
        <i x="4"/>
        <i x="3"/>
        <i x="2"/>
        <i x="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2462D242-5BD9-43E4-A4AE-91DC94774B35}" sourceName="Year">
  <pivotTables>
    <pivotTable tabId="14" name="PivotTable1"/>
  </pivotTables>
  <data>
    <tabular pivotCacheId="950522017">
      <items count="6">
        <i x="4"/>
        <i x="3"/>
        <i x="2"/>
        <i x="0"/>
        <i x="5"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1" xr10:uid="{9E5A0461-3865-40A5-BB4B-DF05E788A139}" cache="Slicer_Group" caption="Group" rowHeight="247650"/>
  <slicer name="Year 1" xr10:uid="{CC52071D-8D1E-480C-B0AC-00A177660931}" cache="Slicer_Year" caption="Year" rowHeight="247650"/>
  <slicer name="Year 3" xr10:uid="{5BE66767-CDFD-476C-A250-35F004B12BE3}" cache="Slicer_Year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929F609D-86B5-4070-994A-57D8CA22B7E2}" cache="Slicer_Year2" caption="Year" rowHeight="247650"/>
  <slicer name="Year 6" xr10:uid="{52317DEE-000A-4CCA-9591-E0D1B92C15E4}" cache="Slicer_Year3" caption="Yea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58257DFA-FD5E-4EE0-9DDA-D7E73811FACE}" cache="Slicer_Year2" caption="Year" rowHeight="247650"/>
  <slicer name="Year 7" xr10:uid="{9A4E7A8D-9087-4140-ABEF-294C53BEDD2E}" cache="Slicer_Year3" caption="Yea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3565D341-E875-40FB-BB93-D29421D62EE7}" cache="Slicer_Group" caption="Group" rowHeight="247650"/>
  <slicer name="Year" xr10:uid="{BE3F6C61-5EB2-45CC-9BD0-E0404E2E3515}" cache="Slicer_Year" caption="Year"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3A0A5DF-E64C-4EAA-A195-B2750BACD993}" cache="Slicer_Year1"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5FBA8-9A2C-473D-8F2E-BE2CD27EA064}">
  <dimension ref="A1:Z3"/>
  <sheetViews>
    <sheetView workbookViewId="0">
      <selection sqref="A1:Z3"/>
    </sheetView>
  </sheetViews>
  <sheetFormatPr defaultRowHeight="13.8"/>
  <sheetData>
    <row r="1" spans="1:26">
      <c r="A1" s="30" t="s">
        <v>35</v>
      </c>
      <c r="B1" s="31"/>
      <c r="C1" s="31"/>
      <c r="D1" s="31"/>
      <c r="E1" s="31"/>
      <c r="F1" s="31"/>
      <c r="G1" s="31"/>
      <c r="H1" s="31"/>
      <c r="I1" s="31"/>
      <c r="J1" s="31"/>
      <c r="K1" s="31"/>
      <c r="L1" s="31"/>
      <c r="M1" s="31"/>
      <c r="N1" s="31"/>
      <c r="O1" s="31"/>
      <c r="P1" s="31"/>
      <c r="Q1" s="31"/>
      <c r="R1" s="31"/>
      <c r="S1" s="31"/>
      <c r="T1" s="31"/>
      <c r="U1" s="31"/>
      <c r="V1" s="31"/>
      <c r="W1" s="31"/>
      <c r="X1" s="31"/>
      <c r="Y1" s="31"/>
      <c r="Z1" s="31"/>
    </row>
    <row r="2" spans="1:26">
      <c r="A2" s="31"/>
      <c r="B2" s="31"/>
      <c r="C2" s="31"/>
      <c r="D2" s="31"/>
      <c r="E2" s="31"/>
      <c r="F2" s="31"/>
      <c r="G2" s="31"/>
      <c r="H2" s="31"/>
      <c r="I2" s="31"/>
      <c r="J2" s="31"/>
      <c r="K2" s="31"/>
      <c r="L2" s="31"/>
      <c r="M2" s="31"/>
      <c r="N2" s="31"/>
      <c r="O2" s="31"/>
      <c r="P2" s="31"/>
      <c r="Q2" s="31"/>
      <c r="R2" s="31"/>
      <c r="S2" s="31"/>
      <c r="T2" s="31"/>
      <c r="U2" s="31"/>
      <c r="V2" s="31"/>
      <c r="W2" s="31"/>
      <c r="X2" s="31"/>
      <c r="Y2" s="31"/>
      <c r="Z2" s="31"/>
    </row>
    <row r="3" spans="1:26">
      <c r="A3" s="31"/>
      <c r="B3" s="31"/>
      <c r="C3" s="31"/>
      <c r="D3" s="31"/>
      <c r="E3" s="31"/>
      <c r="F3" s="31"/>
      <c r="G3" s="31"/>
      <c r="H3" s="31"/>
      <c r="I3" s="31"/>
      <c r="J3" s="31"/>
      <c r="K3" s="31"/>
      <c r="L3" s="31"/>
      <c r="M3" s="31"/>
      <c r="N3" s="31"/>
      <c r="O3" s="31"/>
      <c r="P3" s="31"/>
      <c r="Q3" s="31"/>
      <c r="R3" s="31"/>
      <c r="S3" s="31"/>
      <c r="T3" s="31"/>
      <c r="U3" s="31"/>
      <c r="V3" s="31"/>
      <c r="W3" s="31"/>
      <c r="X3" s="31"/>
      <c r="Y3" s="31"/>
      <c r="Z3" s="31"/>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850E-000C-4097-8FB2-E84F6A7D0F22}">
  <dimension ref="A2:W51"/>
  <sheetViews>
    <sheetView zoomScale="76" workbookViewId="0">
      <selection activeCell="I16" sqref="I16"/>
    </sheetView>
  </sheetViews>
  <sheetFormatPr defaultRowHeight="13.8"/>
  <cols>
    <col min="1" max="1" width="12.875" customWidth="1"/>
    <col min="3" max="3" width="14.625" bestFit="1" customWidth="1"/>
    <col min="4" max="4" width="20.625" bestFit="1" customWidth="1"/>
    <col min="5" max="5" width="21.5" bestFit="1" customWidth="1"/>
    <col min="6" max="6" width="23.125" bestFit="1" customWidth="1"/>
    <col min="7" max="7" width="19.75" bestFit="1" customWidth="1"/>
    <col min="8" max="8" width="26.5" bestFit="1" customWidth="1"/>
    <col min="9" max="9" width="13.75" bestFit="1" customWidth="1"/>
    <col min="14" max="14" width="14.625" bestFit="1" customWidth="1"/>
    <col min="15" max="19" width="11.75" bestFit="1" customWidth="1"/>
  </cols>
  <sheetData>
    <row r="2" spans="1:9" ht="26.4">
      <c r="A2" s="22" t="s">
        <v>17</v>
      </c>
      <c r="B2" s="22"/>
      <c r="C2" s="23" t="s">
        <v>27</v>
      </c>
      <c r="D2" s="23" t="s">
        <v>28</v>
      </c>
      <c r="E2" s="23" t="s">
        <v>29</v>
      </c>
      <c r="F2" s="23" t="s">
        <v>30</v>
      </c>
      <c r="G2" s="23" t="s">
        <v>31</v>
      </c>
      <c r="H2" s="23" t="s">
        <v>32</v>
      </c>
    </row>
    <row r="3" spans="1:9">
      <c r="A3" s="24">
        <v>2025</v>
      </c>
      <c r="B3" s="24"/>
      <c r="C3" s="25">
        <v>31.13</v>
      </c>
      <c r="D3" s="25">
        <v>0.64</v>
      </c>
      <c r="E3" s="25">
        <v>0.2</v>
      </c>
      <c r="F3" s="25">
        <v>59.8</v>
      </c>
      <c r="G3" s="25">
        <v>1.48</v>
      </c>
      <c r="H3" s="25">
        <v>17.829999999999998</v>
      </c>
    </row>
    <row r="4" spans="1:9">
      <c r="A4" s="24">
        <v>2024</v>
      </c>
      <c r="B4" s="24"/>
      <c r="C4" s="25">
        <v>28.78</v>
      </c>
      <c r="D4" s="25">
        <v>0.55000000000000004</v>
      </c>
      <c r="E4" s="25">
        <v>0.16</v>
      </c>
      <c r="F4" s="25">
        <v>48.99</v>
      </c>
      <c r="G4" s="25">
        <v>1.55</v>
      </c>
      <c r="H4" s="25">
        <v>12.05</v>
      </c>
    </row>
    <row r="5" spans="1:9">
      <c r="A5" s="24">
        <v>2023</v>
      </c>
      <c r="B5" s="24"/>
      <c r="C5" s="25">
        <v>18.329999999999998</v>
      </c>
      <c r="D5" s="25">
        <v>0.64</v>
      </c>
      <c r="E5" s="25">
        <v>0.12</v>
      </c>
      <c r="F5" s="25">
        <v>44.33</v>
      </c>
      <c r="G5" s="25">
        <v>1.37</v>
      </c>
      <c r="H5" s="25">
        <v>13.89</v>
      </c>
    </row>
    <row r="6" spans="1:9">
      <c r="A6" s="24">
        <v>2022</v>
      </c>
      <c r="B6" s="24"/>
      <c r="C6" s="25">
        <v>13.12</v>
      </c>
      <c r="D6" s="25">
        <v>0.51</v>
      </c>
      <c r="E6" s="25">
        <v>7.0000000000000007E-2</v>
      </c>
      <c r="F6" s="25">
        <v>-4.8899999999999997</v>
      </c>
      <c r="G6" s="25">
        <v>1.25</v>
      </c>
      <c r="H6" s="25">
        <v>-5.19</v>
      </c>
    </row>
    <row r="7" spans="1:9">
      <c r="A7" s="24">
        <v>2021</v>
      </c>
      <c r="B7" s="24"/>
      <c r="C7" s="25">
        <v>16.72</v>
      </c>
      <c r="D7" s="25">
        <v>0.4</v>
      </c>
      <c r="E7" s="25">
        <v>7.0000000000000007E-2</v>
      </c>
      <c r="F7" s="25">
        <v>35.700000000000003</v>
      </c>
      <c r="G7" s="25">
        <v>1.32</v>
      </c>
      <c r="H7" s="25">
        <v>3.53</v>
      </c>
    </row>
    <row r="8" spans="1:9">
      <c r="A8" s="24">
        <v>2020</v>
      </c>
      <c r="B8" s="24"/>
      <c r="C8" s="25">
        <v>33.69</v>
      </c>
      <c r="D8" s="25">
        <v>0.39</v>
      </c>
      <c r="E8" s="25">
        <v>0.13</v>
      </c>
      <c r="F8" s="25">
        <v>76.05</v>
      </c>
      <c r="G8" s="25">
        <v>1.33</v>
      </c>
      <c r="H8" s="25">
        <v>13.6</v>
      </c>
    </row>
    <row r="9" spans="1:9">
      <c r="A9" s="24">
        <v>2019</v>
      </c>
      <c r="B9" s="24"/>
      <c r="C9" s="25">
        <v>17.600000000000001</v>
      </c>
      <c r="D9" s="25">
        <v>0.35</v>
      </c>
      <c r="E9" s="25">
        <v>0.06</v>
      </c>
      <c r="F9" s="25">
        <v>45.03</v>
      </c>
      <c r="G9" s="25">
        <v>1.29</v>
      </c>
      <c r="H9" s="25">
        <v>8.26</v>
      </c>
    </row>
    <row r="10" spans="1:9">
      <c r="A10" s="24">
        <v>2018</v>
      </c>
      <c r="B10" s="24"/>
      <c r="C10" s="25">
        <v>12.83</v>
      </c>
      <c r="D10" s="25">
        <v>0.3</v>
      </c>
      <c r="E10" s="25">
        <v>0.04</v>
      </c>
      <c r="F10" s="25">
        <v>26.44</v>
      </c>
      <c r="G10" s="25">
        <v>1.32</v>
      </c>
      <c r="H10" s="25">
        <v>5.14</v>
      </c>
    </row>
    <row r="11" spans="1:9">
      <c r="A11" s="24">
        <v>2017</v>
      </c>
      <c r="B11" s="24"/>
      <c r="C11" s="25">
        <v>8.07</v>
      </c>
      <c r="D11" s="25">
        <v>0.28000000000000003</v>
      </c>
      <c r="E11" s="25">
        <v>0.02</v>
      </c>
      <c r="F11" s="25">
        <v>-3.63</v>
      </c>
      <c r="G11" s="25">
        <v>1.34</v>
      </c>
      <c r="H11" s="25">
        <v>-1.24</v>
      </c>
    </row>
    <row r="12" spans="1:9">
      <c r="A12" s="26">
        <v>2016</v>
      </c>
      <c r="B12" s="24"/>
      <c r="C12" s="25">
        <v>-0.56000000000000005</v>
      </c>
      <c r="D12" s="25">
        <v>0.27</v>
      </c>
      <c r="E12" s="25">
        <v>0</v>
      </c>
      <c r="F12" s="27">
        <v>2488.0100000000002</v>
      </c>
      <c r="G12" s="25">
        <v>1.35</v>
      </c>
      <c r="H12" s="25">
        <v>-6.04</v>
      </c>
    </row>
    <row r="16" spans="1:9">
      <c r="C16" s="21" t="s">
        <v>0</v>
      </c>
      <c r="D16" t="s">
        <v>37</v>
      </c>
      <c r="E16" t="s">
        <v>36</v>
      </c>
      <c r="F16" t="s">
        <v>38</v>
      </c>
      <c r="G16" t="s">
        <v>39</v>
      </c>
      <c r="H16" t="s">
        <v>40</v>
      </c>
      <c r="I16" t="s">
        <v>41</v>
      </c>
    </row>
    <row r="17" spans="3:23">
      <c r="C17" s="1">
        <v>2020</v>
      </c>
      <c r="D17" s="40">
        <v>33.69</v>
      </c>
      <c r="E17" s="40">
        <v>0.39</v>
      </c>
      <c r="F17" s="40">
        <v>0.13</v>
      </c>
      <c r="G17" s="40">
        <v>76.05</v>
      </c>
      <c r="H17" s="40">
        <v>1.33</v>
      </c>
      <c r="I17" s="40">
        <v>13.6</v>
      </c>
    </row>
    <row r="18" spans="3:23">
      <c r="C18" s="1" t="s">
        <v>10</v>
      </c>
      <c r="D18" s="40">
        <v>33.69</v>
      </c>
      <c r="E18" s="40">
        <v>0.39</v>
      </c>
      <c r="F18" s="40">
        <v>0.13</v>
      </c>
      <c r="G18" s="40">
        <v>76.05</v>
      </c>
      <c r="H18" s="40">
        <v>1.33</v>
      </c>
      <c r="I18" s="40">
        <v>13.6</v>
      </c>
    </row>
    <row r="21" spans="3:23">
      <c r="M21" s="22" t="s">
        <v>17</v>
      </c>
      <c r="N21" s="24">
        <v>2025</v>
      </c>
      <c r="O21" s="24">
        <v>2024</v>
      </c>
      <c r="P21" s="24">
        <v>2023</v>
      </c>
      <c r="Q21" s="24">
        <v>2022</v>
      </c>
      <c r="R21" s="24">
        <v>2021</v>
      </c>
      <c r="S21" s="24">
        <v>2020</v>
      </c>
      <c r="T21" s="24">
        <v>2019</v>
      </c>
      <c r="U21" s="24">
        <v>2018</v>
      </c>
      <c r="V21" s="24">
        <v>2017</v>
      </c>
      <c r="W21" s="26">
        <v>2016</v>
      </c>
    </row>
    <row r="22" spans="3:23" ht="39.6">
      <c r="M22" s="23" t="s">
        <v>27</v>
      </c>
      <c r="N22" s="25">
        <v>31.13</v>
      </c>
      <c r="O22" s="25">
        <v>28.78</v>
      </c>
      <c r="P22" s="25">
        <v>18.329999999999998</v>
      </c>
      <c r="Q22" s="25">
        <v>13.12</v>
      </c>
      <c r="R22" s="25">
        <v>16.72</v>
      </c>
      <c r="S22" s="25">
        <v>33.69</v>
      </c>
      <c r="T22" s="25">
        <v>17.600000000000001</v>
      </c>
      <c r="U22" s="25">
        <v>12.83</v>
      </c>
      <c r="V22" s="25">
        <v>8.07</v>
      </c>
      <c r="W22" s="25">
        <v>-0.56000000000000005</v>
      </c>
    </row>
    <row r="23" spans="3:23" ht="39.6">
      <c r="M23" s="23" t="s">
        <v>28</v>
      </c>
      <c r="N23" s="25">
        <v>0.64</v>
      </c>
      <c r="O23" s="25">
        <v>0.55000000000000004</v>
      </c>
      <c r="P23" s="25">
        <v>0.64</v>
      </c>
      <c r="Q23" s="25">
        <v>0.51</v>
      </c>
      <c r="R23" s="25">
        <v>0.4</v>
      </c>
      <c r="S23" s="25">
        <v>0.39</v>
      </c>
      <c r="T23" s="25">
        <v>0.35</v>
      </c>
      <c r="U23" s="25">
        <v>0.3</v>
      </c>
      <c r="V23" s="25">
        <v>0.28000000000000003</v>
      </c>
      <c r="W23" s="25">
        <v>0.27</v>
      </c>
    </row>
    <row r="24" spans="3:23" ht="39.6">
      <c r="M24" s="23" t="s">
        <v>29</v>
      </c>
      <c r="N24" s="25">
        <v>0.2</v>
      </c>
      <c r="O24" s="25">
        <v>0.16</v>
      </c>
      <c r="P24" s="25">
        <v>0.12</v>
      </c>
      <c r="Q24" s="25">
        <v>7.0000000000000007E-2</v>
      </c>
      <c r="R24" s="25">
        <v>7.0000000000000007E-2</v>
      </c>
      <c r="S24" s="25">
        <v>0.13</v>
      </c>
      <c r="T24" s="25">
        <v>0.06</v>
      </c>
      <c r="U24" s="25">
        <v>0.04</v>
      </c>
      <c r="V24" s="25">
        <v>0.02</v>
      </c>
      <c r="W24" s="25">
        <v>0</v>
      </c>
    </row>
    <row r="25" spans="3:23" ht="26.4">
      <c r="M25" s="23" t="s">
        <v>30</v>
      </c>
      <c r="N25" s="25">
        <v>59.8</v>
      </c>
      <c r="O25" s="25">
        <v>48.99</v>
      </c>
      <c r="P25" s="25">
        <v>44.33</v>
      </c>
      <c r="Q25" s="25">
        <v>-4.8899999999999997</v>
      </c>
      <c r="R25" s="25">
        <v>35.700000000000003</v>
      </c>
      <c r="S25" s="25">
        <v>76.05</v>
      </c>
      <c r="T25" s="25">
        <v>45.03</v>
      </c>
      <c r="U25" s="25">
        <v>26.44</v>
      </c>
      <c r="V25" s="25">
        <v>-3.63</v>
      </c>
      <c r="W25" s="27">
        <v>2488.0100000000002</v>
      </c>
    </row>
    <row r="26" spans="3:23" ht="52.8">
      <c r="M26" s="23" t="s">
        <v>31</v>
      </c>
      <c r="N26" s="25">
        <v>1.48</v>
      </c>
      <c r="O26" s="25">
        <v>1.55</v>
      </c>
      <c r="P26" s="25">
        <v>1.37</v>
      </c>
      <c r="Q26" s="25">
        <v>1.25</v>
      </c>
      <c r="R26" s="25">
        <v>1.32</v>
      </c>
      <c r="S26" s="25">
        <v>1.33</v>
      </c>
      <c r="T26" s="25">
        <v>1.29</v>
      </c>
      <c r="U26" s="25">
        <v>1.32</v>
      </c>
      <c r="V26" s="25">
        <v>1.34</v>
      </c>
      <c r="W26" s="25">
        <v>1.35</v>
      </c>
    </row>
    <row r="27" spans="3:23">
      <c r="M27" s="23" t="s">
        <v>32</v>
      </c>
      <c r="N27" s="25">
        <v>17.829999999999998</v>
      </c>
      <c r="O27" s="25">
        <v>12.05</v>
      </c>
      <c r="P27" s="25">
        <v>13.89</v>
      </c>
      <c r="Q27" s="25">
        <v>-5.19</v>
      </c>
      <c r="R27" s="25">
        <v>3.53</v>
      </c>
      <c r="S27" s="25">
        <v>13.6</v>
      </c>
      <c r="T27" s="25">
        <v>8.26</v>
      </c>
      <c r="U27" s="25">
        <v>5.14</v>
      </c>
      <c r="V27" s="25">
        <v>-1.24</v>
      </c>
      <c r="W27" s="25">
        <v>-6.04</v>
      </c>
    </row>
    <row r="34" spans="1:19">
      <c r="N34" s="21" t="s">
        <v>0</v>
      </c>
      <c r="O34" t="s">
        <v>1</v>
      </c>
      <c r="P34" t="s">
        <v>2</v>
      </c>
      <c r="Q34" t="s">
        <v>3</v>
      </c>
      <c r="R34" t="s">
        <v>4</v>
      </c>
      <c r="S34" t="s">
        <v>5</v>
      </c>
    </row>
    <row r="35" spans="1:19">
      <c r="N35" s="1" t="s">
        <v>32</v>
      </c>
      <c r="O35" s="40">
        <v>17.829999999999998</v>
      </c>
      <c r="P35" s="40">
        <v>12.05</v>
      </c>
      <c r="Q35" s="40">
        <v>13.89</v>
      </c>
      <c r="R35" s="40">
        <v>-5.19</v>
      </c>
      <c r="S35" s="40">
        <v>3.53</v>
      </c>
    </row>
    <row r="36" spans="1:19">
      <c r="N36" s="1" t="s">
        <v>10</v>
      </c>
      <c r="O36" s="40">
        <v>17.829999999999998</v>
      </c>
      <c r="P36" s="40">
        <v>12.05</v>
      </c>
      <c r="Q36" s="40">
        <v>13.89</v>
      </c>
      <c r="R36" s="40">
        <v>-5.19</v>
      </c>
      <c r="S36" s="40">
        <v>3.53</v>
      </c>
    </row>
    <row r="43" spans="1:19">
      <c r="A43" s="4"/>
      <c r="B43" s="5"/>
      <c r="C43" s="32" t="s">
        <v>17</v>
      </c>
      <c r="D43" s="33"/>
      <c r="E43" s="33"/>
      <c r="F43" s="33"/>
      <c r="G43" s="33"/>
      <c r="H43" s="34"/>
    </row>
    <row r="44" spans="1:19">
      <c r="A44" s="28" t="s">
        <v>33</v>
      </c>
      <c r="B44" s="28"/>
      <c r="C44" s="28">
        <v>2025</v>
      </c>
      <c r="D44" s="28">
        <v>2024</v>
      </c>
      <c r="E44" s="28">
        <v>2023</v>
      </c>
      <c r="F44" s="28">
        <v>2022</v>
      </c>
      <c r="G44" s="28">
        <v>2021</v>
      </c>
      <c r="H44" s="28">
        <v>2020</v>
      </c>
    </row>
    <row r="45" spans="1:19">
      <c r="A45" s="28"/>
      <c r="B45" s="28"/>
      <c r="C45" s="28"/>
      <c r="D45" s="28"/>
      <c r="E45" s="28"/>
      <c r="F45" s="28"/>
      <c r="G45" s="28"/>
      <c r="H45" s="28"/>
    </row>
    <row r="46" spans="1:19" ht="26.4">
      <c r="A46" s="29" t="s">
        <v>27</v>
      </c>
      <c r="B46" s="29"/>
      <c r="C46" s="29">
        <v>31.13</v>
      </c>
      <c r="D46" s="29">
        <v>28.78</v>
      </c>
      <c r="E46" s="29">
        <v>18.329999999999998</v>
      </c>
      <c r="F46" s="29">
        <v>13.12</v>
      </c>
      <c r="G46" s="29">
        <v>16.72</v>
      </c>
      <c r="H46" s="29">
        <v>33.69</v>
      </c>
    </row>
    <row r="47" spans="1:19" ht="26.4">
      <c r="A47" s="29" t="s">
        <v>28</v>
      </c>
      <c r="B47" s="29"/>
      <c r="C47" s="29">
        <v>0.64</v>
      </c>
      <c r="D47" s="29">
        <v>0.55000000000000004</v>
      </c>
      <c r="E47" s="29">
        <v>0.64</v>
      </c>
      <c r="F47" s="29">
        <v>0.51</v>
      </c>
      <c r="G47" s="29">
        <v>0.4</v>
      </c>
      <c r="H47" s="29">
        <v>0.39</v>
      </c>
    </row>
    <row r="48" spans="1:19" ht="26.4">
      <c r="A48" s="29" t="s">
        <v>29</v>
      </c>
      <c r="B48" s="29"/>
      <c r="C48" s="29">
        <v>0.2</v>
      </c>
      <c r="D48" s="29">
        <v>0.16</v>
      </c>
      <c r="E48" s="29">
        <v>0.12</v>
      </c>
      <c r="F48" s="29">
        <v>7.0000000000000007E-2</v>
      </c>
      <c r="G48" s="29">
        <v>7.0000000000000007E-2</v>
      </c>
      <c r="H48" s="29">
        <v>0.13</v>
      </c>
    </row>
    <row r="49" spans="1:8" ht="26.4">
      <c r="A49" s="29" t="s">
        <v>30</v>
      </c>
      <c r="B49" s="29"/>
      <c r="C49" s="29">
        <v>59.8</v>
      </c>
      <c r="D49" s="29">
        <v>48.99</v>
      </c>
      <c r="E49" s="29">
        <v>44.33</v>
      </c>
      <c r="F49" s="29">
        <v>-4.8899999999999997</v>
      </c>
      <c r="G49" s="29">
        <v>35.700000000000003</v>
      </c>
      <c r="H49" s="29">
        <v>76.05</v>
      </c>
    </row>
    <row r="50" spans="1:8" ht="39.6">
      <c r="A50" s="29" t="s">
        <v>31</v>
      </c>
      <c r="B50" s="29"/>
      <c r="C50" s="29">
        <v>1.48</v>
      </c>
      <c r="D50" s="29">
        <v>1.55</v>
      </c>
      <c r="E50" s="29">
        <v>1.37</v>
      </c>
      <c r="F50" s="29">
        <v>1.25</v>
      </c>
      <c r="G50" s="29">
        <v>1.32</v>
      </c>
      <c r="H50" s="29">
        <v>1.33</v>
      </c>
    </row>
    <row r="51" spans="1:8">
      <c r="A51" s="29" t="s">
        <v>32</v>
      </c>
      <c r="B51" s="29"/>
      <c r="C51" s="29">
        <v>17.829999999999998</v>
      </c>
      <c r="D51" s="29">
        <v>12.05</v>
      </c>
      <c r="E51" s="29">
        <v>13.89</v>
      </c>
      <c r="F51" s="29">
        <v>-5.19</v>
      </c>
      <c r="G51" s="29">
        <v>3.53</v>
      </c>
      <c r="H51" s="29">
        <v>13.6</v>
      </c>
    </row>
  </sheetData>
  <mergeCells count="1">
    <mergeCell ref="C43:H4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36CB-CA37-4723-A6F0-7C1AA79D3981}">
  <dimension ref="A1:Z3"/>
  <sheetViews>
    <sheetView workbookViewId="0">
      <selection sqref="A1:Z3"/>
    </sheetView>
  </sheetViews>
  <sheetFormatPr defaultRowHeight="13.8"/>
  <sheetData>
    <row r="1" spans="1:26" ht="13.8" customHeight="1">
      <c r="A1" s="35" t="s">
        <v>34</v>
      </c>
      <c r="B1" s="36"/>
      <c r="C1" s="36"/>
      <c r="D1" s="36"/>
      <c r="E1" s="36"/>
      <c r="F1" s="36"/>
      <c r="G1" s="36"/>
      <c r="H1" s="36"/>
      <c r="I1" s="36"/>
      <c r="J1" s="36"/>
      <c r="K1" s="36"/>
      <c r="L1" s="36"/>
      <c r="M1" s="36"/>
      <c r="N1" s="36"/>
      <c r="O1" s="36"/>
      <c r="P1" s="36"/>
      <c r="Q1" s="36"/>
      <c r="R1" s="36"/>
      <c r="S1" s="36"/>
      <c r="T1" s="36"/>
      <c r="U1" s="36"/>
      <c r="V1" s="36"/>
      <c r="W1" s="36"/>
      <c r="X1" s="36"/>
      <c r="Y1" s="36"/>
      <c r="Z1" s="36"/>
    </row>
    <row r="2" spans="1:26">
      <c r="A2" s="36"/>
      <c r="B2" s="36"/>
      <c r="C2" s="36"/>
      <c r="D2" s="36"/>
      <c r="E2" s="36"/>
      <c r="F2" s="36"/>
      <c r="G2" s="36"/>
      <c r="H2" s="36"/>
      <c r="I2" s="36"/>
      <c r="J2" s="36"/>
      <c r="K2" s="36"/>
      <c r="L2" s="36"/>
      <c r="M2" s="36"/>
      <c r="N2" s="36"/>
      <c r="O2" s="36"/>
      <c r="P2" s="36"/>
      <c r="Q2" s="36"/>
      <c r="R2" s="36"/>
      <c r="S2" s="36"/>
      <c r="T2" s="36"/>
      <c r="U2" s="36"/>
      <c r="V2" s="36"/>
      <c r="W2" s="36"/>
      <c r="X2" s="36"/>
      <c r="Y2" s="36"/>
      <c r="Z2" s="36"/>
    </row>
    <row r="3" spans="1:26">
      <c r="A3" s="36"/>
      <c r="B3" s="36"/>
      <c r="C3" s="36"/>
      <c r="D3" s="36"/>
      <c r="E3" s="36"/>
      <c r="F3" s="36"/>
      <c r="G3" s="36"/>
      <c r="H3" s="36"/>
      <c r="I3" s="36"/>
      <c r="J3" s="36"/>
      <c r="K3" s="36"/>
      <c r="L3" s="36"/>
      <c r="M3" s="36"/>
      <c r="N3" s="36"/>
      <c r="O3" s="36"/>
      <c r="P3" s="36"/>
      <c r="Q3" s="36"/>
      <c r="R3" s="36"/>
      <c r="S3" s="36"/>
      <c r="T3" s="36"/>
      <c r="U3" s="36"/>
      <c r="V3" s="36"/>
      <c r="W3" s="36"/>
      <c r="X3" s="36"/>
      <c r="Y3" s="36"/>
      <c r="Z3" s="36"/>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D5B0-3A8F-4282-B4F0-7FD84928DA11}">
  <dimension ref="A3:G6"/>
  <sheetViews>
    <sheetView workbookViewId="0">
      <selection activeCell="F12" sqref="F12"/>
    </sheetView>
  </sheetViews>
  <sheetFormatPr defaultRowHeight="13.8"/>
  <cols>
    <col min="1" max="1" width="16.625" bestFit="1" customWidth="1"/>
    <col min="2" max="2" width="5.875" bestFit="1" customWidth="1"/>
    <col min="3" max="5" width="5.375" bestFit="1" customWidth="1"/>
    <col min="6" max="6" width="6.375" bestFit="1" customWidth="1"/>
    <col min="7" max="7" width="5.375" bestFit="1" customWidth="1"/>
  </cols>
  <sheetData>
    <row r="3" spans="1:7">
      <c r="A3" s="21" t="s">
        <v>0</v>
      </c>
      <c r="B3" t="s">
        <v>55</v>
      </c>
      <c r="C3" t="s">
        <v>56</v>
      </c>
      <c r="D3" t="s">
        <v>57</v>
      </c>
      <c r="E3" t="s">
        <v>58</v>
      </c>
      <c r="F3" t="s">
        <v>59</v>
      </c>
      <c r="G3" t="s">
        <v>60</v>
      </c>
    </row>
    <row r="4" spans="1:7">
      <c r="A4" s="1" t="s">
        <v>7</v>
      </c>
      <c r="B4" s="40">
        <v>1.54</v>
      </c>
      <c r="C4" s="40">
        <v>2.39</v>
      </c>
      <c r="D4" s="40">
        <v>1.42</v>
      </c>
      <c r="E4" s="40">
        <v>1.18</v>
      </c>
      <c r="F4" s="40">
        <v>1.25</v>
      </c>
      <c r="G4" s="40">
        <v>1</v>
      </c>
    </row>
    <row r="5" spans="1:7">
      <c r="A5" s="2" t="s">
        <v>20</v>
      </c>
      <c r="B5" s="40">
        <v>1.54</v>
      </c>
      <c r="C5" s="40">
        <v>2.39</v>
      </c>
      <c r="D5" s="40">
        <v>1.42</v>
      </c>
      <c r="E5" s="40">
        <v>1.18</v>
      </c>
      <c r="F5" s="40">
        <v>1.25</v>
      </c>
      <c r="G5" s="40">
        <v>1</v>
      </c>
    </row>
    <row r="6" spans="1:7">
      <c r="A6" s="1" t="s">
        <v>10</v>
      </c>
      <c r="B6" s="40">
        <v>1.54</v>
      </c>
      <c r="C6" s="40">
        <v>2.39</v>
      </c>
      <c r="D6" s="40">
        <v>1.42</v>
      </c>
      <c r="E6" s="40">
        <v>1.18</v>
      </c>
      <c r="F6" s="40">
        <v>1.25</v>
      </c>
      <c r="G6" s="4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5E269-A937-49BB-BF23-F1781F1A9045}">
  <dimension ref="A1:L15"/>
  <sheetViews>
    <sheetView showGridLines="0" workbookViewId="0">
      <selection activeCell="B21" sqref="B21"/>
    </sheetView>
  </sheetViews>
  <sheetFormatPr defaultRowHeight="13.8"/>
  <cols>
    <col min="1" max="1" width="19.25" customWidth="1"/>
    <col min="2" max="2" width="28" customWidth="1"/>
    <col min="3" max="3" width="36" customWidth="1"/>
    <col min="4" max="5" width="7.875" customWidth="1"/>
    <col min="6" max="6" width="9.875" customWidth="1"/>
    <col min="7" max="10" width="7.875" customWidth="1"/>
    <col min="11" max="11" width="9.875" customWidth="1"/>
    <col min="12" max="12" width="8.625" customWidth="1"/>
  </cols>
  <sheetData>
    <row r="1" spans="1:12" ht="13.2" customHeight="1">
      <c r="B1" s="37" t="s">
        <v>15</v>
      </c>
      <c r="C1" s="38"/>
      <c r="D1" s="38"/>
      <c r="E1" s="38"/>
      <c r="F1" s="38"/>
      <c r="G1" s="38"/>
      <c r="H1" s="38"/>
      <c r="I1" s="38"/>
      <c r="J1" s="38"/>
      <c r="K1" s="39"/>
      <c r="L1" s="3"/>
    </row>
    <row r="2" spans="1:12">
      <c r="A2" s="5" t="s">
        <v>16</v>
      </c>
      <c r="B2" s="6" t="s">
        <v>17</v>
      </c>
      <c r="C2" s="6">
        <v>2025</v>
      </c>
      <c r="D2" s="6">
        <v>2024</v>
      </c>
      <c r="E2" s="6">
        <v>2023</v>
      </c>
      <c r="F2" s="6">
        <v>2022</v>
      </c>
      <c r="G2" s="6">
        <v>2021</v>
      </c>
      <c r="H2" s="6">
        <v>2020</v>
      </c>
      <c r="I2" s="6">
        <v>2019</v>
      </c>
      <c r="J2" s="6">
        <v>2018</v>
      </c>
      <c r="K2" s="6">
        <v>2017</v>
      </c>
      <c r="L2" s="7">
        <v>2016</v>
      </c>
    </row>
    <row r="3" spans="1:12">
      <c r="A3" s="8" t="s">
        <v>9</v>
      </c>
      <c r="B3" s="9" t="s">
        <v>18</v>
      </c>
      <c r="C3" s="9">
        <v>0.47</v>
      </c>
      <c r="D3" s="9">
        <v>0.4</v>
      </c>
      <c r="E3" s="9">
        <v>0.27</v>
      </c>
      <c r="F3" s="9">
        <v>0.24</v>
      </c>
      <c r="G3" s="9">
        <v>0.27</v>
      </c>
      <c r="H3" s="9">
        <v>0.27</v>
      </c>
      <c r="I3" s="9">
        <v>0.28999999999999998</v>
      </c>
      <c r="J3" s="9">
        <v>0.3</v>
      </c>
      <c r="K3" s="9">
        <v>0.28000000000000003</v>
      </c>
      <c r="L3" s="9">
        <v>0.28000000000000003</v>
      </c>
    </row>
    <row r="4" spans="1:12">
      <c r="A4" s="8" t="s">
        <v>9</v>
      </c>
      <c r="B4" s="9" t="s">
        <v>19</v>
      </c>
      <c r="C4" s="9">
        <v>0.24</v>
      </c>
      <c r="D4" s="9">
        <v>0.4</v>
      </c>
      <c r="E4" s="9">
        <v>0.27</v>
      </c>
      <c r="F4" s="9">
        <v>0.2</v>
      </c>
      <c r="G4" s="9">
        <v>0.13</v>
      </c>
      <c r="H4" s="9">
        <v>0.06</v>
      </c>
      <c r="I4" s="9">
        <v>7.0000000000000007E-2</v>
      </c>
      <c r="J4" s="9">
        <v>0.05</v>
      </c>
      <c r="K4" s="9">
        <v>0.06</v>
      </c>
      <c r="L4" s="9">
        <v>7.0000000000000007E-2</v>
      </c>
    </row>
    <row r="5" spans="1:12">
      <c r="A5" s="10" t="s">
        <v>7</v>
      </c>
      <c r="B5" s="9" t="s">
        <v>20</v>
      </c>
      <c r="C5" s="9">
        <v>1.54</v>
      </c>
      <c r="D5" s="9">
        <v>2.39</v>
      </c>
      <c r="E5" s="9">
        <v>1.42</v>
      </c>
      <c r="F5" s="9">
        <v>1.18</v>
      </c>
      <c r="G5" s="9">
        <v>1.25</v>
      </c>
      <c r="H5" s="9">
        <v>1</v>
      </c>
      <c r="I5" s="9">
        <v>0.85</v>
      </c>
      <c r="J5" s="9">
        <v>0.74</v>
      </c>
      <c r="K5" s="9">
        <v>0.67</v>
      </c>
      <c r="L5" s="9">
        <v>0.57999999999999996</v>
      </c>
    </row>
    <row r="6" spans="1:12">
      <c r="A6" s="11" t="s">
        <v>6</v>
      </c>
      <c r="B6" s="9" t="s">
        <v>12</v>
      </c>
      <c r="C6" s="9">
        <v>1.25</v>
      </c>
      <c r="D6" s="9">
        <v>1.1299999999999999</v>
      </c>
      <c r="E6" s="9">
        <v>1.19</v>
      </c>
      <c r="F6" s="9">
        <v>0.94</v>
      </c>
      <c r="G6" s="9">
        <v>1.17</v>
      </c>
      <c r="H6" s="9">
        <v>1.6</v>
      </c>
      <c r="I6" s="9">
        <v>1.47</v>
      </c>
      <c r="J6" s="9">
        <v>1.56</v>
      </c>
      <c r="K6" s="9">
        <v>1.71</v>
      </c>
      <c r="L6" s="9">
        <v>1.56</v>
      </c>
    </row>
    <row r="7" spans="1:12">
      <c r="A7" s="11" t="s">
        <v>6</v>
      </c>
      <c r="B7" s="9" t="s">
        <v>13</v>
      </c>
      <c r="C7" s="9">
        <v>6.38</v>
      </c>
      <c r="D7" s="9">
        <v>5.47</v>
      </c>
      <c r="E7" s="9">
        <v>5.63</v>
      </c>
      <c r="F7" s="9">
        <v>4.57</v>
      </c>
      <c r="G7" s="9">
        <v>4.66</v>
      </c>
      <c r="H7" s="9">
        <v>4.62</v>
      </c>
      <c r="I7" s="9">
        <v>4.18</v>
      </c>
      <c r="J7" s="9">
        <v>4.05</v>
      </c>
      <c r="K7" s="9">
        <v>3.51</v>
      </c>
      <c r="L7" s="9">
        <v>3.64</v>
      </c>
    </row>
    <row r="8" spans="1:12">
      <c r="A8" s="11" t="s">
        <v>6</v>
      </c>
      <c r="B8" s="9" t="s">
        <v>11</v>
      </c>
      <c r="C8" s="9">
        <v>2.2400000000000002</v>
      </c>
      <c r="D8" s="9">
        <v>2.54</v>
      </c>
      <c r="E8" s="9">
        <v>3.66</v>
      </c>
      <c r="F8" s="9">
        <v>2.88</v>
      </c>
      <c r="G8" s="9">
        <v>2.21</v>
      </c>
      <c r="H8" s="9">
        <v>2.2400000000000002</v>
      </c>
      <c r="I8" s="9">
        <v>2</v>
      </c>
      <c r="J8" s="9">
        <v>2.2599999999999998</v>
      </c>
      <c r="K8" s="9">
        <v>3.31</v>
      </c>
      <c r="L8" s="9">
        <v>4.1399999999999997</v>
      </c>
    </row>
    <row r="9" spans="1:12">
      <c r="A9" s="11" t="s">
        <v>6</v>
      </c>
      <c r="B9" s="9" t="s">
        <v>14</v>
      </c>
      <c r="C9" s="9">
        <v>0.63</v>
      </c>
      <c r="D9" s="9">
        <v>0.59</v>
      </c>
      <c r="E9" s="9">
        <v>0.66</v>
      </c>
      <c r="F9" s="9">
        <v>0.47</v>
      </c>
      <c r="G9" s="9">
        <v>0.42</v>
      </c>
      <c r="H9" s="9">
        <v>0.41</v>
      </c>
      <c r="I9" s="9">
        <v>0.35</v>
      </c>
      <c r="J9" s="9">
        <v>0.31</v>
      </c>
      <c r="K9" s="9">
        <v>0.27</v>
      </c>
      <c r="L9" s="9">
        <v>0.26</v>
      </c>
    </row>
    <row r="10" spans="1:12">
      <c r="A10" s="11" t="s">
        <v>9</v>
      </c>
      <c r="B10" s="9" t="s">
        <v>21</v>
      </c>
      <c r="C10" s="9">
        <v>6.63</v>
      </c>
      <c r="D10" s="9">
        <v>5.4</v>
      </c>
      <c r="E10" s="9">
        <v>10.9</v>
      </c>
      <c r="F10" s="9">
        <v>6.39</v>
      </c>
      <c r="G10" s="9">
        <v>4.53</v>
      </c>
      <c r="H10" s="9">
        <v>8.9700000000000006</v>
      </c>
      <c r="I10" s="9">
        <v>4.2699999999999996</v>
      </c>
      <c r="J10" s="9">
        <v>3.82</v>
      </c>
      <c r="K10" s="9">
        <v>-0.19</v>
      </c>
      <c r="L10" s="9">
        <v>-1.34</v>
      </c>
    </row>
    <row r="11" spans="1:12">
      <c r="A11" s="8" t="s">
        <v>8</v>
      </c>
      <c r="B11" s="9" t="s">
        <v>22</v>
      </c>
      <c r="C11" s="9">
        <v>31.13</v>
      </c>
      <c r="D11" s="9">
        <v>28.78</v>
      </c>
      <c r="E11" s="9">
        <v>32.43</v>
      </c>
      <c r="F11" s="9">
        <v>24.56</v>
      </c>
      <c r="G11" s="9">
        <v>17.350000000000001</v>
      </c>
      <c r="H11" s="9">
        <v>33.69</v>
      </c>
      <c r="I11" s="9">
        <v>27.8</v>
      </c>
      <c r="J11" s="9">
        <v>21.88</v>
      </c>
      <c r="K11" s="9">
        <v>4.8600000000000003</v>
      </c>
      <c r="L11" s="9">
        <v>-3.91</v>
      </c>
    </row>
    <row r="12" spans="1:12">
      <c r="A12" s="8" t="s">
        <v>8</v>
      </c>
      <c r="B12" s="9" t="s">
        <v>23</v>
      </c>
      <c r="C12" s="9">
        <v>25.75</v>
      </c>
      <c r="D12" s="9">
        <v>20.88</v>
      </c>
      <c r="E12" s="9">
        <v>24.73</v>
      </c>
      <c r="F12" s="9">
        <v>15.9</v>
      </c>
      <c r="G12" s="9">
        <v>8.59</v>
      </c>
      <c r="H12" s="9">
        <v>29.21</v>
      </c>
      <c r="I12" s="9">
        <v>22.43</v>
      </c>
      <c r="J12" s="9">
        <v>16.47</v>
      </c>
      <c r="K12" s="9">
        <v>-0.56000000000000005</v>
      </c>
      <c r="L12" s="9">
        <v>-9.81</v>
      </c>
    </row>
    <row r="13" spans="1:12">
      <c r="A13" s="8" t="s">
        <v>8</v>
      </c>
      <c r="B13" s="9" t="s">
        <v>24</v>
      </c>
      <c r="C13" s="9">
        <v>27.25</v>
      </c>
      <c r="D13" s="9">
        <v>24.91</v>
      </c>
      <c r="E13" s="9">
        <v>30.16</v>
      </c>
      <c r="F13" s="9">
        <v>22.07</v>
      </c>
      <c r="G13" s="9">
        <v>15.45</v>
      </c>
      <c r="H13" s="9">
        <v>30.44</v>
      </c>
      <c r="I13" s="9">
        <v>22.55</v>
      </c>
      <c r="J13" s="9">
        <v>17.57</v>
      </c>
      <c r="K13" s="9">
        <v>1.99</v>
      </c>
      <c r="L13" s="9">
        <v>-11.21</v>
      </c>
    </row>
    <row r="14" spans="1:12">
      <c r="A14" s="8" t="s">
        <v>8</v>
      </c>
      <c r="B14" s="9" t="s">
        <v>25</v>
      </c>
      <c r="C14" s="9">
        <v>16.29</v>
      </c>
      <c r="D14" s="9">
        <v>12.22</v>
      </c>
      <c r="E14" s="9">
        <v>16.260000000000002</v>
      </c>
      <c r="F14" s="9">
        <v>7.47</v>
      </c>
      <c r="G14" s="9">
        <v>3.57</v>
      </c>
      <c r="H14" s="9">
        <v>11.85</v>
      </c>
      <c r="I14" s="9">
        <v>7.83</v>
      </c>
      <c r="J14" s="9">
        <v>5.14</v>
      </c>
      <c r="K14" s="9">
        <v>-0.15</v>
      </c>
      <c r="L14" s="9">
        <v>-2.5099999999999998</v>
      </c>
    </row>
    <row r="15" spans="1:12">
      <c r="A15" s="8" t="s">
        <v>8</v>
      </c>
      <c r="B15" s="9" t="s">
        <v>26</v>
      </c>
      <c r="C15" s="9">
        <v>17.829999999999998</v>
      </c>
      <c r="D15" s="9">
        <v>12.05</v>
      </c>
      <c r="E15" s="9">
        <v>13.89</v>
      </c>
      <c r="F15" s="9">
        <v>-5.19</v>
      </c>
      <c r="G15" s="9">
        <v>3.53</v>
      </c>
      <c r="H15" s="9">
        <v>13.6</v>
      </c>
      <c r="I15" s="9">
        <v>8.26</v>
      </c>
      <c r="J15" s="9">
        <v>5.14</v>
      </c>
      <c r="K15" s="9">
        <v>-1.24</v>
      </c>
      <c r="L15" s="9">
        <v>-6.04</v>
      </c>
    </row>
  </sheetData>
  <mergeCells count="1">
    <mergeCell ref="B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5EDB-F935-4BA6-BBC2-25C9B3908DF2}">
  <dimension ref="A1:W33"/>
  <sheetViews>
    <sheetView tabSelected="1" workbookViewId="0">
      <selection activeCell="W16" sqref="W16"/>
    </sheetView>
  </sheetViews>
  <sheetFormatPr defaultRowHeight="13.8"/>
  <cols>
    <col min="10" max="10" width="13.5" bestFit="1" customWidth="1"/>
    <col min="11" max="11" width="17.625" bestFit="1" customWidth="1"/>
    <col min="12" max="12" width="28.25" bestFit="1" customWidth="1"/>
    <col min="13" max="13" width="13.875" bestFit="1" customWidth="1"/>
    <col min="14" max="14" width="27.5" bestFit="1" customWidth="1"/>
    <col min="15" max="15" width="23.875" bestFit="1" customWidth="1"/>
    <col min="16" max="16" width="23.25" bestFit="1" customWidth="1"/>
    <col min="17" max="17" width="26.25" bestFit="1" customWidth="1"/>
    <col min="18" max="18" width="20" bestFit="1" customWidth="1"/>
    <col min="19" max="19" width="18.375" bestFit="1" customWidth="1"/>
    <col min="20" max="20" width="16.375" bestFit="1" customWidth="1"/>
    <col min="21" max="21" width="17.375" bestFit="1" customWidth="1"/>
    <col min="22" max="22" width="16" bestFit="1" customWidth="1"/>
    <col min="23" max="23" width="16.875" bestFit="1" customWidth="1"/>
  </cols>
  <sheetData>
    <row r="1" spans="1:23" ht="66">
      <c r="A1" s="6" t="s">
        <v>17</v>
      </c>
      <c r="B1" s="9" t="s">
        <v>18</v>
      </c>
      <c r="C1" s="9" t="s">
        <v>19</v>
      </c>
      <c r="D1" s="9" t="s">
        <v>20</v>
      </c>
      <c r="E1" s="9" t="s">
        <v>12</v>
      </c>
      <c r="F1" s="9" t="s">
        <v>13</v>
      </c>
      <c r="G1" s="9" t="s">
        <v>11</v>
      </c>
      <c r="H1" s="9" t="s">
        <v>14</v>
      </c>
      <c r="I1" s="9" t="s">
        <v>21</v>
      </c>
      <c r="J1" s="9" t="s">
        <v>22</v>
      </c>
      <c r="K1" s="9" t="s">
        <v>23</v>
      </c>
      <c r="L1" s="9" t="s">
        <v>24</v>
      </c>
      <c r="M1" s="9" t="s">
        <v>25</v>
      </c>
      <c r="N1" s="9" t="s">
        <v>26</v>
      </c>
    </row>
    <row r="2" spans="1:23">
      <c r="A2" s="6">
        <v>2025</v>
      </c>
      <c r="B2" s="9">
        <v>0.47</v>
      </c>
      <c r="C2" s="9">
        <v>0.24</v>
      </c>
      <c r="D2" s="9">
        <v>1.54</v>
      </c>
      <c r="E2" s="9">
        <v>1.25</v>
      </c>
      <c r="F2" s="9">
        <v>6.38</v>
      </c>
      <c r="G2" s="9">
        <v>2.2400000000000002</v>
      </c>
      <c r="H2" s="9">
        <v>0.63</v>
      </c>
      <c r="I2" s="9">
        <v>6.63</v>
      </c>
      <c r="J2" s="9">
        <v>31.13</v>
      </c>
      <c r="K2" s="9">
        <v>25.75</v>
      </c>
      <c r="L2" s="9">
        <v>27.25</v>
      </c>
      <c r="M2" s="9">
        <v>16.29</v>
      </c>
      <c r="N2" s="9">
        <v>17.829999999999998</v>
      </c>
    </row>
    <row r="3" spans="1:23">
      <c r="A3" s="6">
        <v>2024</v>
      </c>
      <c r="B3" s="9">
        <v>0.4</v>
      </c>
      <c r="C3" s="9">
        <v>0.4</v>
      </c>
      <c r="D3" s="9">
        <v>2.39</v>
      </c>
      <c r="E3" s="9">
        <v>1.1299999999999999</v>
      </c>
      <c r="F3" s="9">
        <v>5.47</v>
      </c>
      <c r="G3" s="9">
        <v>2.54</v>
      </c>
      <c r="H3" s="9">
        <v>0.59</v>
      </c>
      <c r="I3" s="9">
        <v>5.4</v>
      </c>
      <c r="J3" s="9">
        <v>28.78</v>
      </c>
      <c r="K3" s="9">
        <v>20.88</v>
      </c>
      <c r="L3" s="9">
        <v>24.91</v>
      </c>
      <c r="M3" s="9">
        <v>12.22</v>
      </c>
      <c r="N3" s="9">
        <v>12.05</v>
      </c>
    </row>
    <row r="4" spans="1:23">
      <c r="A4" s="6">
        <v>2023</v>
      </c>
      <c r="B4" s="9">
        <v>0.27</v>
      </c>
      <c r="C4" s="9">
        <v>0.27</v>
      </c>
      <c r="D4" s="9">
        <v>1.42</v>
      </c>
      <c r="E4" s="9">
        <v>1.19</v>
      </c>
      <c r="F4" s="9">
        <v>5.63</v>
      </c>
      <c r="G4" s="9">
        <v>3.66</v>
      </c>
      <c r="H4" s="9">
        <v>0.66</v>
      </c>
      <c r="I4" s="9">
        <v>10.9</v>
      </c>
      <c r="J4" s="9">
        <v>32.43</v>
      </c>
      <c r="K4" s="9">
        <v>24.73</v>
      </c>
      <c r="L4" s="9">
        <v>30.16</v>
      </c>
      <c r="M4" s="9">
        <v>16.260000000000002</v>
      </c>
      <c r="N4" s="9">
        <v>13.89</v>
      </c>
    </row>
    <row r="5" spans="1:23">
      <c r="A5" s="6">
        <v>2022</v>
      </c>
      <c r="B5" s="9">
        <v>0.24</v>
      </c>
      <c r="C5" s="9">
        <v>0.2</v>
      </c>
      <c r="D5" s="9">
        <v>1.18</v>
      </c>
      <c r="E5" s="9">
        <v>0.94</v>
      </c>
      <c r="F5" s="9">
        <v>4.57</v>
      </c>
      <c r="G5" s="9">
        <v>2.88</v>
      </c>
      <c r="H5" s="9">
        <v>0.47</v>
      </c>
      <c r="I5" s="9">
        <v>6.39</v>
      </c>
      <c r="J5" s="9">
        <v>24.56</v>
      </c>
      <c r="K5" s="9">
        <v>15.9</v>
      </c>
      <c r="L5" s="9">
        <v>22.07</v>
      </c>
      <c r="M5" s="9">
        <v>7.47</v>
      </c>
      <c r="N5" s="9">
        <v>-5.19</v>
      </c>
    </row>
    <row r="6" spans="1:23">
      <c r="A6" s="6">
        <v>2021</v>
      </c>
      <c r="B6" s="9">
        <v>0.27</v>
      </c>
      <c r="C6" s="9">
        <v>0.13</v>
      </c>
      <c r="D6" s="9">
        <v>1.25</v>
      </c>
      <c r="E6" s="9">
        <v>1.17</v>
      </c>
      <c r="F6" s="9">
        <v>4.66</v>
      </c>
      <c r="G6" s="9">
        <v>2.21</v>
      </c>
      <c r="H6" s="9">
        <v>0.42</v>
      </c>
      <c r="I6" s="9">
        <v>4.53</v>
      </c>
      <c r="J6" s="9">
        <v>17.350000000000001</v>
      </c>
      <c r="K6" s="9">
        <v>8.59</v>
      </c>
      <c r="L6" s="9">
        <v>15.45</v>
      </c>
      <c r="M6" s="9">
        <v>3.57</v>
      </c>
      <c r="N6" s="9">
        <v>3.53</v>
      </c>
    </row>
    <row r="7" spans="1:23">
      <c r="A7" s="6">
        <v>2020</v>
      </c>
      <c r="B7" s="9">
        <v>0.27</v>
      </c>
      <c r="C7" s="9">
        <v>0.06</v>
      </c>
      <c r="D7" s="9">
        <v>1</v>
      </c>
      <c r="E7" s="9">
        <v>1.6</v>
      </c>
      <c r="F7" s="9">
        <v>4.62</v>
      </c>
      <c r="G7" s="9">
        <v>2.2400000000000002</v>
      </c>
      <c r="H7" s="9">
        <v>0.41</v>
      </c>
      <c r="I7" s="9">
        <v>8.9700000000000006</v>
      </c>
      <c r="J7" s="9">
        <v>33.69</v>
      </c>
      <c r="K7" s="9">
        <v>29.21</v>
      </c>
      <c r="L7" s="9">
        <v>30.44</v>
      </c>
      <c r="M7" s="9">
        <v>11.85</v>
      </c>
      <c r="N7" s="9">
        <v>13.6</v>
      </c>
    </row>
    <row r="8" spans="1:23">
      <c r="A8" s="6">
        <v>2019</v>
      </c>
      <c r="B8" s="9">
        <v>0.28999999999999998</v>
      </c>
      <c r="C8" s="9">
        <v>7.0000000000000007E-2</v>
      </c>
      <c r="D8" s="9">
        <v>0.85</v>
      </c>
      <c r="E8" s="9">
        <v>1.47</v>
      </c>
      <c r="F8" s="9">
        <v>4.18</v>
      </c>
      <c r="G8" s="9">
        <v>2</v>
      </c>
      <c r="H8" s="9">
        <v>0.35</v>
      </c>
      <c r="I8" s="9">
        <v>4.2699999999999996</v>
      </c>
      <c r="J8" s="9">
        <v>27.8</v>
      </c>
      <c r="K8" s="9">
        <v>22.43</v>
      </c>
      <c r="L8" s="9">
        <v>22.55</v>
      </c>
      <c r="M8" s="9">
        <v>7.83</v>
      </c>
      <c r="N8" s="9">
        <v>8.26</v>
      </c>
    </row>
    <row r="9" spans="1:23">
      <c r="A9" s="6">
        <v>2018</v>
      </c>
      <c r="B9" s="9">
        <v>0.3</v>
      </c>
      <c r="C9" s="9">
        <v>0.05</v>
      </c>
      <c r="D9" s="9">
        <v>0.74</v>
      </c>
      <c r="E9" s="9">
        <v>1.56</v>
      </c>
      <c r="F9" s="9">
        <v>4.05</v>
      </c>
      <c r="G9" s="9">
        <v>2.2599999999999998</v>
      </c>
      <c r="H9" s="9">
        <v>0.31</v>
      </c>
      <c r="I9" s="9">
        <v>3.82</v>
      </c>
      <c r="J9" s="9">
        <v>21.88</v>
      </c>
      <c r="K9" s="9">
        <v>16.47</v>
      </c>
      <c r="L9" s="9">
        <v>17.57</v>
      </c>
      <c r="M9" s="9">
        <v>5.14</v>
      </c>
      <c r="N9" s="9">
        <v>5.14</v>
      </c>
    </row>
    <row r="10" spans="1:23">
      <c r="A10" s="6">
        <v>2017</v>
      </c>
      <c r="B10" s="9">
        <v>0.28000000000000003</v>
      </c>
      <c r="C10" s="9">
        <v>0.06</v>
      </c>
      <c r="D10" s="9">
        <v>0.67</v>
      </c>
      <c r="E10" s="9">
        <v>1.71</v>
      </c>
      <c r="F10" s="9">
        <v>3.51</v>
      </c>
      <c r="G10" s="9">
        <v>3.31</v>
      </c>
      <c r="H10" s="9">
        <v>0.27</v>
      </c>
      <c r="I10" s="9">
        <v>-0.19</v>
      </c>
      <c r="J10" s="9">
        <v>4.8600000000000003</v>
      </c>
      <c r="K10" s="9">
        <v>-0.56000000000000005</v>
      </c>
      <c r="L10" s="9">
        <v>1.99</v>
      </c>
      <c r="M10" s="9">
        <v>-0.15</v>
      </c>
      <c r="N10" s="9">
        <v>-1.24</v>
      </c>
    </row>
    <row r="11" spans="1:23">
      <c r="A11" s="7">
        <v>2016</v>
      </c>
      <c r="B11" s="9">
        <v>0.28000000000000003</v>
      </c>
      <c r="C11" s="9">
        <v>7.0000000000000007E-2</v>
      </c>
      <c r="D11" s="9">
        <v>0.57999999999999996</v>
      </c>
      <c r="E11" s="9">
        <v>1.56</v>
      </c>
      <c r="F11" s="9">
        <v>3.64</v>
      </c>
      <c r="G11" s="9">
        <v>4.1399999999999997</v>
      </c>
      <c r="H11" s="9">
        <v>0.26</v>
      </c>
      <c r="I11" s="9">
        <v>-1.34</v>
      </c>
      <c r="J11" s="9">
        <v>-3.91</v>
      </c>
      <c r="K11" s="9">
        <v>-9.81</v>
      </c>
      <c r="L11" s="9">
        <v>-11.21</v>
      </c>
      <c r="M11" s="9">
        <v>-2.5099999999999998</v>
      </c>
      <c r="N11" s="9">
        <v>-6.04</v>
      </c>
    </row>
    <row r="16" spans="1:23">
      <c r="D16" s="12"/>
      <c r="E16" s="13"/>
      <c r="F16" s="14"/>
      <c r="J16" s="21" t="s">
        <v>0</v>
      </c>
      <c r="K16" t="s">
        <v>42</v>
      </c>
      <c r="L16" t="s">
        <v>43</v>
      </c>
      <c r="M16" t="s">
        <v>44</v>
      </c>
      <c r="N16" t="s">
        <v>45</v>
      </c>
      <c r="O16" t="s">
        <v>46</v>
      </c>
      <c r="P16" t="s">
        <v>47</v>
      </c>
      <c r="Q16" t="s">
        <v>48</v>
      </c>
      <c r="R16" t="s">
        <v>49</v>
      </c>
      <c r="S16" t="s">
        <v>50</v>
      </c>
      <c r="T16" t="s">
        <v>51</v>
      </c>
      <c r="U16" t="s">
        <v>52</v>
      </c>
      <c r="V16" t="s">
        <v>53</v>
      </c>
      <c r="W16" t="s">
        <v>54</v>
      </c>
    </row>
    <row r="17" spans="4:23">
      <c r="D17" s="15"/>
      <c r="E17" s="16"/>
      <c r="F17" s="17"/>
      <c r="J17" s="1">
        <v>2020</v>
      </c>
      <c r="K17" s="40">
        <v>0.27</v>
      </c>
      <c r="L17" s="40">
        <v>0.06</v>
      </c>
      <c r="M17" s="40">
        <v>1</v>
      </c>
      <c r="N17" s="40">
        <v>1.6</v>
      </c>
      <c r="O17" s="40">
        <v>4.62</v>
      </c>
      <c r="P17" s="40">
        <v>2.2400000000000002</v>
      </c>
      <c r="Q17" s="40">
        <v>0.41</v>
      </c>
      <c r="R17" s="40">
        <v>8.9700000000000006</v>
      </c>
      <c r="S17" s="40">
        <v>33.69</v>
      </c>
      <c r="T17" s="40">
        <v>29.21</v>
      </c>
      <c r="U17" s="40">
        <v>30.44</v>
      </c>
      <c r="V17" s="40">
        <v>11.85</v>
      </c>
      <c r="W17" s="40">
        <v>13.6</v>
      </c>
    </row>
    <row r="18" spans="4:23">
      <c r="D18" s="15"/>
      <c r="E18" s="16"/>
      <c r="F18" s="17"/>
      <c r="J18" s="1" t="s">
        <v>10</v>
      </c>
      <c r="K18" s="40">
        <v>0.27</v>
      </c>
      <c r="L18" s="40">
        <v>0.06</v>
      </c>
      <c r="M18" s="40">
        <v>1</v>
      </c>
      <c r="N18" s="40">
        <v>1.6</v>
      </c>
      <c r="O18" s="40">
        <v>4.62</v>
      </c>
      <c r="P18" s="40">
        <v>2.2400000000000002</v>
      </c>
      <c r="Q18" s="40">
        <v>0.41</v>
      </c>
      <c r="R18" s="40">
        <v>8.9700000000000006</v>
      </c>
      <c r="S18" s="40">
        <v>33.69</v>
      </c>
      <c r="T18" s="40">
        <v>29.21</v>
      </c>
      <c r="U18" s="40">
        <v>30.44</v>
      </c>
      <c r="V18" s="40">
        <v>11.85</v>
      </c>
      <c r="W18" s="40">
        <v>13.6</v>
      </c>
    </row>
    <row r="19" spans="4:23">
      <c r="D19" s="15"/>
      <c r="E19" s="16"/>
      <c r="F19" s="17"/>
    </row>
    <row r="20" spans="4:23">
      <c r="D20" s="15"/>
      <c r="E20" s="16"/>
      <c r="F20" s="17"/>
    </row>
    <row r="21" spans="4:23">
      <c r="D21" s="15"/>
      <c r="E21" s="16"/>
      <c r="F21" s="17"/>
    </row>
    <row r="22" spans="4:23">
      <c r="D22" s="15"/>
      <c r="E22" s="16"/>
      <c r="F22" s="17"/>
    </row>
    <row r="23" spans="4:23">
      <c r="D23" s="15"/>
      <c r="E23" s="16"/>
      <c r="F23" s="17"/>
    </row>
    <row r="24" spans="4:23">
      <c r="D24" s="15"/>
      <c r="E24" s="16"/>
      <c r="F24" s="17"/>
    </row>
    <row r="25" spans="4:23">
      <c r="D25" s="15"/>
      <c r="E25" s="16"/>
      <c r="F25" s="17"/>
    </row>
    <row r="26" spans="4:23">
      <c r="D26" s="15"/>
      <c r="E26" s="16"/>
      <c r="F26" s="17"/>
    </row>
    <row r="27" spans="4:23">
      <c r="D27" s="15"/>
      <c r="E27" s="16"/>
      <c r="F27" s="17"/>
    </row>
    <row r="28" spans="4:23">
      <c r="D28" s="15"/>
      <c r="E28" s="16"/>
      <c r="F28" s="17"/>
    </row>
    <row r="29" spans="4:23">
      <c r="D29" s="15"/>
      <c r="E29" s="16"/>
      <c r="F29" s="17"/>
    </row>
    <row r="30" spans="4:23">
      <c r="D30" s="15"/>
      <c r="E30" s="16"/>
      <c r="F30" s="17"/>
    </row>
    <row r="31" spans="4:23">
      <c r="D31" s="15"/>
      <c r="E31" s="16"/>
      <c r="F31" s="17"/>
    </row>
    <row r="32" spans="4:23">
      <c r="D32" s="15"/>
      <c r="E32" s="16"/>
      <c r="F32" s="17"/>
    </row>
    <row r="33" spans="4:6">
      <c r="D33" s="18"/>
      <c r="E33" s="19"/>
      <c r="F33" s="20"/>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Dupont</vt:lpstr>
      <vt:lpstr>Dupont DashBoard</vt:lpstr>
      <vt:lpstr>Pivot Table Group</vt:lpstr>
      <vt:lpstr>Report</vt:lpstr>
      <vt:lpstr>Pivot Table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Prajval Srivastava</dc:creator>
  <cp:lastModifiedBy>prajval srivastava</cp:lastModifiedBy>
  <dcterms:created xsi:type="dcterms:W3CDTF">2025-09-08T10:32:12Z</dcterms:created>
  <dcterms:modified xsi:type="dcterms:W3CDTF">2026-08-07T17:47:59Z</dcterms:modified>
</cp:coreProperties>
</file>