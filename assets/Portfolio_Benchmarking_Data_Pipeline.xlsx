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218a1aace7b9e0/Desktop/"/>
    </mc:Choice>
  </mc:AlternateContent>
  <xr:revisionPtr revIDLastSave="0" documentId="8_{8AB26486-0F68-41C0-B740-8E04FEA1B92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AW Data " sheetId="1" r:id="rId1"/>
    <sheet name="Calcualtions" sheetId="2" r:id="rId2"/>
    <sheet name="Comparative Summary" sheetId="3" r:id="rId3"/>
  </sheets>
  <externalReferences>
    <externalReference r:id="rId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E6" i="2" s="1"/>
  <c r="E7" i="2"/>
  <c r="B7" i="3" s="1"/>
  <c r="E11" i="2"/>
  <c r="B6" i="3" s="1"/>
  <c r="O1228" i="1"/>
  <c r="K1228" i="1"/>
  <c r="G1228" i="1"/>
  <c r="C1228" i="1"/>
  <c r="O1227" i="1"/>
  <c r="K1227" i="1"/>
  <c r="G1227" i="1"/>
  <c r="C1227" i="1"/>
  <c r="O1226" i="1"/>
  <c r="K1226" i="1"/>
  <c r="G1226" i="1"/>
  <c r="C1226" i="1"/>
  <c r="O1225" i="1"/>
  <c r="K1225" i="1"/>
  <c r="G1225" i="1"/>
  <c r="C1225" i="1"/>
  <c r="O1224" i="1"/>
  <c r="K1224" i="1"/>
  <c r="G1224" i="1"/>
  <c r="C1224" i="1"/>
  <c r="O1223" i="1"/>
  <c r="K1223" i="1"/>
  <c r="G1223" i="1"/>
  <c r="C1223" i="1"/>
  <c r="O1222" i="1"/>
  <c r="K1222" i="1"/>
  <c r="G1222" i="1"/>
  <c r="C1222" i="1"/>
  <c r="O1221" i="1"/>
  <c r="K1221" i="1"/>
  <c r="G1221" i="1"/>
  <c r="C1221" i="1"/>
  <c r="O1220" i="1"/>
  <c r="K1220" i="1"/>
  <c r="G1220" i="1"/>
  <c r="C1220" i="1"/>
  <c r="O1219" i="1"/>
  <c r="K1219" i="1"/>
  <c r="G1219" i="1"/>
  <c r="C1219" i="1"/>
  <c r="O1218" i="1"/>
  <c r="K1218" i="1"/>
  <c r="G1218" i="1"/>
  <c r="C1218" i="1"/>
  <c r="O1217" i="1"/>
  <c r="K1217" i="1"/>
  <c r="G1217" i="1"/>
  <c r="C1217" i="1"/>
  <c r="O1216" i="1"/>
  <c r="K1216" i="1"/>
  <c r="G1216" i="1"/>
  <c r="C1216" i="1"/>
  <c r="O1215" i="1"/>
  <c r="K1215" i="1"/>
  <c r="G1215" i="1"/>
  <c r="C1215" i="1"/>
  <c r="O1214" i="1"/>
  <c r="K1214" i="1"/>
  <c r="G1214" i="1"/>
  <c r="C1214" i="1"/>
  <c r="O1213" i="1"/>
  <c r="K1213" i="1"/>
  <c r="G1213" i="1"/>
  <c r="C1213" i="1"/>
  <c r="O1212" i="1"/>
  <c r="K1212" i="1"/>
  <c r="G1212" i="1"/>
  <c r="C1212" i="1"/>
  <c r="O1211" i="1"/>
  <c r="K1211" i="1"/>
  <c r="G1211" i="1"/>
  <c r="C1211" i="1"/>
  <c r="O1210" i="1"/>
  <c r="K1210" i="1"/>
  <c r="G1210" i="1"/>
  <c r="C1210" i="1"/>
  <c r="O1209" i="1"/>
  <c r="K1209" i="1"/>
  <c r="G1209" i="1"/>
  <c r="C1209" i="1"/>
  <c r="O1208" i="1"/>
  <c r="K1208" i="1"/>
  <c r="G1208" i="1"/>
  <c r="C1208" i="1"/>
  <c r="O1207" i="1"/>
  <c r="K1207" i="1"/>
  <c r="G1207" i="1"/>
  <c r="C1207" i="1"/>
  <c r="O1206" i="1"/>
  <c r="K1206" i="1"/>
  <c r="G1206" i="1"/>
  <c r="C1206" i="1"/>
  <c r="O1205" i="1"/>
  <c r="K1205" i="1"/>
  <c r="G1205" i="1"/>
  <c r="C1205" i="1"/>
  <c r="O1204" i="1"/>
  <c r="K1204" i="1"/>
  <c r="G1204" i="1"/>
  <c r="C1204" i="1"/>
  <c r="O1203" i="1"/>
  <c r="K1203" i="1"/>
  <c r="G1203" i="1"/>
  <c r="C1203" i="1"/>
  <c r="O1202" i="1"/>
  <c r="K1202" i="1"/>
  <c r="G1202" i="1"/>
  <c r="C1202" i="1"/>
  <c r="O1201" i="1"/>
  <c r="K1201" i="1"/>
  <c r="G1201" i="1"/>
  <c r="C1201" i="1"/>
  <c r="O1200" i="1"/>
  <c r="K1200" i="1"/>
  <c r="G1200" i="1"/>
  <c r="C1200" i="1"/>
  <c r="O1199" i="1"/>
  <c r="K1199" i="1"/>
  <c r="G1199" i="1"/>
  <c r="C1199" i="1"/>
  <c r="O1198" i="1"/>
  <c r="K1198" i="1"/>
  <c r="G1198" i="1"/>
  <c r="C1198" i="1"/>
  <c r="O1197" i="1"/>
  <c r="K1197" i="1"/>
  <c r="G1197" i="1"/>
  <c r="C1197" i="1"/>
  <c r="O1196" i="1"/>
  <c r="K1196" i="1"/>
  <c r="G1196" i="1"/>
  <c r="C1196" i="1"/>
  <c r="O1195" i="1"/>
  <c r="K1195" i="1"/>
  <c r="G1195" i="1"/>
  <c r="C1195" i="1"/>
  <c r="O1194" i="1"/>
  <c r="K1194" i="1"/>
  <c r="G1194" i="1"/>
  <c r="C1194" i="1"/>
  <c r="O1193" i="1"/>
  <c r="K1193" i="1"/>
  <c r="G1193" i="1"/>
  <c r="C1193" i="1"/>
  <c r="O1192" i="1"/>
  <c r="K1192" i="1"/>
  <c r="G1192" i="1"/>
  <c r="C1192" i="1"/>
  <c r="O1191" i="1"/>
  <c r="K1191" i="1"/>
  <c r="G1191" i="1"/>
  <c r="C1191" i="1"/>
  <c r="O1190" i="1"/>
  <c r="K1190" i="1"/>
  <c r="G1190" i="1"/>
  <c r="C1190" i="1"/>
  <c r="O1189" i="1"/>
  <c r="K1189" i="1"/>
  <c r="G1189" i="1"/>
  <c r="C1189" i="1"/>
  <c r="O1188" i="1"/>
  <c r="K1188" i="1"/>
  <c r="G1188" i="1"/>
  <c r="C1188" i="1"/>
  <c r="O1187" i="1"/>
  <c r="K1187" i="1"/>
  <c r="G1187" i="1"/>
  <c r="C1187" i="1"/>
  <c r="O1186" i="1"/>
  <c r="K1186" i="1"/>
  <c r="G1186" i="1"/>
  <c r="C1186" i="1"/>
  <c r="O1185" i="1"/>
  <c r="K1185" i="1"/>
  <c r="G1185" i="1"/>
  <c r="C1185" i="1"/>
  <c r="O1184" i="1"/>
  <c r="K1184" i="1"/>
  <c r="G1184" i="1"/>
  <c r="C1184" i="1"/>
  <c r="O1183" i="1"/>
  <c r="K1183" i="1"/>
  <c r="G1183" i="1"/>
  <c r="C1183" i="1"/>
  <c r="O1182" i="1"/>
  <c r="K1182" i="1"/>
  <c r="G1182" i="1"/>
  <c r="C1182" i="1"/>
  <c r="O1181" i="1"/>
  <c r="K1181" i="1"/>
  <c r="G1181" i="1"/>
  <c r="C1181" i="1"/>
  <c r="O1180" i="1"/>
  <c r="K1180" i="1"/>
  <c r="G1180" i="1"/>
  <c r="C1180" i="1"/>
  <c r="O1179" i="1"/>
  <c r="K1179" i="1"/>
  <c r="G1179" i="1"/>
  <c r="C1179" i="1"/>
  <c r="O1178" i="1"/>
  <c r="K1178" i="1"/>
  <c r="G1178" i="1"/>
  <c r="C1178" i="1"/>
  <c r="O1177" i="1"/>
  <c r="K1177" i="1"/>
  <c r="G1177" i="1"/>
  <c r="C1177" i="1"/>
  <c r="O1176" i="1"/>
  <c r="K1176" i="1"/>
  <c r="G1176" i="1"/>
  <c r="C1176" i="1"/>
  <c r="O1175" i="1"/>
  <c r="K1175" i="1"/>
  <c r="G1175" i="1"/>
  <c r="C1175" i="1"/>
  <c r="O1174" i="1"/>
  <c r="K1174" i="1"/>
  <c r="G1174" i="1"/>
  <c r="C1174" i="1"/>
  <c r="O1173" i="1"/>
  <c r="K1173" i="1"/>
  <c r="G1173" i="1"/>
  <c r="C1173" i="1"/>
  <c r="O1172" i="1"/>
  <c r="K1172" i="1"/>
  <c r="G1172" i="1"/>
  <c r="C1172" i="1"/>
  <c r="O1171" i="1"/>
  <c r="K1171" i="1"/>
  <c r="G1171" i="1"/>
  <c r="C1171" i="1"/>
  <c r="O1170" i="1"/>
  <c r="K1170" i="1"/>
  <c r="G1170" i="1"/>
  <c r="C1170" i="1"/>
  <c r="O1169" i="1"/>
  <c r="K1169" i="1"/>
  <c r="G1169" i="1"/>
  <c r="C1169" i="1"/>
  <c r="O1168" i="1"/>
  <c r="K1168" i="1"/>
  <c r="G1168" i="1"/>
  <c r="C1168" i="1"/>
  <c r="O1167" i="1"/>
  <c r="K1167" i="1"/>
  <c r="G1167" i="1"/>
  <c r="C1167" i="1"/>
  <c r="O1166" i="1"/>
  <c r="K1166" i="1"/>
  <c r="G1166" i="1"/>
  <c r="C1166" i="1"/>
  <c r="O1165" i="1"/>
  <c r="K1165" i="1"/>
  <c r="G1165" i="1"/>
  <c r="C1165" i="1"/>
  <c r="O1164" i="1"/>
  <c r="K1164" i="1"/>
  <c r="G1164" i="1"/>
  <c r="C1164" i="1"/>
  <c r="O1163" i="1"/>
  <c r="K1163" i="1"/>
  <c r="G1163" i="1"/>
  <c r="C1163" i="1"/>
  <c r="O1162" i="1"/>
  <c r="K1162" i="1"/>
  <c r="G1162" i="1"/>
  <c r="C1162" i="1"/>
  <c r="O1161" i="1"/>
  <c r="K1161" i="1"/>
  <c r="G1161" i="1"/>
  <c r="C1161" i="1"/>
  <c r="O1160" i="1"/>
  <c r="K1160" i="1"/>
  <c r="G1160" i="1"/>
  <c r="C1160" i="1"/>
  <c r="O1159" i="1"/>
  <c r="K1159" i="1"/>
  <c r="G1159" i="1"/>
  <c r="C1159" i="1"/>
  <c r="O1158" i="1"/>
  <c r="K1158" i="1"/>
  <c r="G1158" i="1"/>
  <c r="C1158" i="1"/>
  <c r="O1157" i="1"/>
  <c r="K1157" i="1"/>
  <c r="G1157" i="1"/>
  <c r="C1157" i="1"/>
  <c r="O1156" i="1"/>
  <c r="K1156" i="1"/>
  <c r="G1156" i="1"/>
  <c r="C1156" i="1"/>
  <c r="O1155" i="1"/>
  <c r="K1155" i="1"/>
  <c r="G1155" i="1"/>
  <c r="C1155" i="1"/>
  <c r="O1154" i="1"/>
  <c r="K1154" i="1"/>
  <c r="G1154" i="1"/>
  <c r="C1154" i="1"/>
  <c r="O1153" i="1"/>
  <c r="K1153" i="1"/>
  <c r="G1153" i="1"/>
  <c r="C1153" i="1"/>
  <c r="O1152" i="1"/>
  <c r="K1152" i="1"/>
  <c r="G1152" i="1"/>
  <c r="C1152" i="1"/>
  <c r="O1151" i="1"/>
  <c r="K1151" i="1"/>
  <c r="G1151" i="1"/>
  <c r="C1151" i="1"/>
  <c r="O1150" i="1"/>
  <c r="K1150" i="1"/>
  <c r="G1150" i="1"/>
  <c r="C1150" i="1"/>
  <c r="O1149" i="1"/>
  <c r="K1149" i="1"/>
  <c r="G1149" i="1"/>
  <c r="C1149" i="1"/>
  <c r="O1148" i="1"/>
  <c r="K1148" i="1"/>
  <c r="G1148" i="1"/>
  <c r="C1148" i="1"/>
  <c r="O1147" i="1"/>
  <c r="K1147" i="1"/>
  <c r="G1147" i="1"/>
  <c r="C1147" i="1"/>
  <c r="O1146" i="1"/>
  <c r="K1146" i="1"/>
  <c r="G1146" i="1"/>
  <c r="C1146" i="1"/>
  <c r="O1145" i="1"/>
  <c r="K1145" i="1"/>
  <c r="G1145" i="1"/>
  <c r="C1145" i="1"/>
  <c r="O1144" i="1"/>
  <c r="K1144" i="1"/>
  <c r="G1144" i="1"/>
  <c r="C1144" i="1"/>
  <c r="O1143" i="1"/>
  <c r="K1143" i="1"/>
  <c r="G1143" i="1"/>
  <c r="C1143" i="1"/>
  <c r="O1142" i="1"/>
  <c r="K1142" i="1"/>
  <c r="G1142" i="1"/>
  <c r="C1142" i="1"/>
  <c r="O1141" i="1"/>
  <c r="K1141" i="1"/>
  <c r="G1141" i="1"/>
  <c r="C1141" i="1"/>
  <c r="O1140" i="1"/>
  <c r="K1140" i="1"/>
  <c r="G1140" i="1"/>
  <c r="C1140" i="1"/>
  <c r="O1139" i="1"/>
  <c r="K1139" i="1"/>
  <c r="G1139" i="1"/>
  <c r="C1139" i="1"/>
  <c r="O1138" i="1"/>
  <c r="K1138" i="1"/>
  <c r="G1138" i="1"/>
  <c r="C1138" i="1"/>
  <c r="O1137" i="1"/>
  <c r="K1137" i="1"/>
  <c r="G1137" i="1"/>
  <c r="C1137" i="1"/>
  <c r="O1136" i="1"/>
  <c r="K1136" i="1"/>
  <c r="G1136" i="1"/>
  <c r="C1136" i="1"/>
  <c r="O1135" i="1"/>
  <c r="K1135" i="1"/>
  <c r="G1135" i="1"/>
  <c r="C1135" i="1"/>
  <c r="O1134" i="1"/>
  <c r="K1134" i="1"/>
  <c r="G1134" i="1"/>
  <c r="C1134" i="1"/>
  <c r="O1133" i="1"/>
  <c r="K1133" i="1"/>
  <c r="G1133" i="1"/>
  <c r="C1133" i="1"/>
  <c r="O1132" i="1"/>
  <c r="K1132" i="1"/>
  <c r="G1132" i="1"/>
  <c r="C1132" i="1"/>
  <c r="O1131" i="1"/>
  <c r="K1131" i="1"/>
  <c r="G1131" i="1"/>
  <c r="C1131" i="1"/>
  <c r="O1130" i="1"/>
  <c r="K1130" i="1"/>
  <c r="G1130" i="1"/>
  <c r="C1130" i="1"/>
  <c r="O1129" i="1"/>
  <c r="K1129" i="1"/>
  <c r="G1129" i="1"/>
  <c r="C1129" i="1"/>
  <c r="O1128" i="1"/>
  <c r="K1128" i="1"/>
  <c r="G1128" i="1"/>
  <c r="C1128" i="1"/>
  <c r="O1127" i="1"/>
  <c r="K1127" i="1"/>
  <c r="G1127" i="1"/>
  <c r="C1127" i="1"/>
  <c r="O1126" i="1"/>
  <c r="K1126" i="1"/>
  <c r="G1126" i="1"/>
  <c r="C1126" i="1"/>
  <c r="O1125" i="1"/>
  <c r="K1125" i="1"/>
  <c r="G1125" i="1"/>
  <c r="C1125" i="1"/>
  <c r="O1124" i="1"/>
  <c r="K1124" i="1"/>
  <c r="G1124" i="1"/>
  <c r="C1124" i="1"/>
  <c r="O1123" i="1"/>
  <c r="K1123" i="1"/>
  <c r="G1123" i="1"/>
  <c r="C1123" i="1"/>
  <c r="O1122" i="1"/>
  <c r="K1122" i="1"/>
  <c r="G1122" i="1"/>
  <c r="C1122" i="1"/>
  <c r="O1121" i="1"/>
  <c r="K1121" i="1"/>
  <c r="G1121" i="1"/>
  <c r="C1121" i="1"/>
  <c r="O1120" i="1"/>
  <c r="K1120" i="1"/>
  <c r="G1120" i="1"/>
  <c r="C1120" i="1"/>
  <c r="O1119" i="1"/>
  <c r="K1119" i="1"/>
  <c r="G1119" i="1"/>
  <c r="C1119" i="1"/>
  <c r="O1118" i="1"/>
  <c r="K1118" i="1"/>
  <c r="G1118" i="1"/>
  <c r="C1118" i="1"/>
  <c r="O1117" i="1"/>
  <c r="K1117" i="1"/>
  <c r="G1117" i="1"/>
  <c r="C1117" i="1"/>
  <c r="O1116" i="1"/>
  <c r="K1116" i="1"/>
  <c r="G1116" i="1"/>
  <c r="C1116" i="1"/>
  <c r="O1115" i="1"/>
  <c r="K1115" i="1"/>
  <c r="G1115" i="1"/>
  <c r="C1115" i="1"/>
  <c r="O1114" i="1"/>
  <c r="K1114" i="1"/>
  <c r="G1114" i="1"/>
  <c r="C1114" i="1"/>
  <c r="O1113" i="1"/>
  <c r="K1113" i="1"/>
  <c r="G1113" i="1"/>
  <c r="C1113" i="1"/>
  <c r="O1112" i="1"/>
  <c r="K1112" i="1"/>
  <c r="G1112" i="1"/>
  <c r="C1112" i="1"/>
  <c r="O1111" i="1"/>
  <c r="K1111" i="1"/>
  <c r="G1111" i="1"/>
  <c r="C1111" i="1"/>
  <c r="O1110" i="1"/>
  <c r="K1110" i="1"/>
  <c r="G1110" i="1"/>
  <c r="C1110" i="1"/>
  <c r="O1109" i="1"/>
  <c r="K1109" i="1"/>
  <c r="G1109" i="1"/>
  <c r="C1109" i="1"/>
  <c r="O1108" i="1"/>
  <c r="K1108" i="1"/>
  <c r="G1108" i="1"/>
  <c r="C1108" i="1"/>
  <c r="O1107" i="1"/>
  <c r="K1107" i="1"/>
  <c r="G1107" i="1"/>
  <c r="C1107" i="1"/>
  <c r="O1106" i="1"/>
  <c r="K1106" i="1"/>
  <c r="G1106" i="1"/>
  <c r="C1106" i="1"/>
  <c r="O1105" i="1"/>
  <c r="K1105" i="1"/>
  <c r="G1105" i="1"/>
  <c r="C1105" i="1"/>
  <c r="O1104" i="1"/>
  <c r="K1104" i="1"/>
  <c r="G1104" i="1"/>
  <c r="C1104" i="1"/>
  <c r="O1103" i="1"/>
  <c r="K1103" i="1"/>
  <c r="G1103" i="1"/>
  <c r="C1103" i="1"/>
  <c r="O1102" i="1"/>
  <c r="K1102" i="1"/>
  <c r="G1102" i="1"/>
  <c r="C1102" i="1"/>
  <c r="O1101" i="1"/>
  <c r="K1101" i="1"/>
  <c r="G1101" i="1"/>
  <c r="C1101" i="1"/>
  <c r="O1100" i="1"/>
  <c r="K1100" i="1"/>
  <c r="G1100" i="1"/>
  <c r="C1100" i="1"/>
  <c r="O1099" i="1"/>
  <c r="K1099" i="1"/>
  <c r="G1099" i="1"/>
  <c r="C1099" i="1"/>
  <c r="O1098" i="1"/>
  <c r="K1098" i="1"/>
  <c r="G1098" i="1"/>
  <c r="C1098" i="1"/>
  <c r="O1097" i="1"/>
  <c r="K1097" i="1"/>
  <c r="G1097" i="1"/>
  <c r="C1097" i="1"/>
  <c r="O1096" i="1"/>
  <c r="K1096" i="1"/>
  <c r="G1096" i="1"/>
  <c r="C1096" i="1"/>
  <c r="O1095" i="1"/>
  <c r="K1095" i="1"/>
  <c r="G1095" i="1"/>
  <c r="C1095" i="1"/>
  <c r="O1094" i="1"/>
  <c r="K1094" i="1"/>
  <c r="G1094" i="1"/>
  <c r="C1094" i="1"/>
  <c r="O1093" i="1"/>
  <c r="K1093" i="1"/>
  <c r="G1093" i="1"/>
  <c r="C1093" i="1"/>
  <c r="O1092" i="1"/>
  <c r="K1092" i="1"/>
  <c r="G1092" i="1"/>
  <c r="C1092" i="1"/>
  <c r="O1091" i="1"/>
  <c r="K1091" i="1"/>
  <c r="G1091" i="1"/>
  <c r="C1091" i="1"/>
  <c r="O1090" i="1"/>
  <c r="K1090" i="1"/>
  <c r="G1090" i="1"/>
  <c r="C1090" i="1"/>
  <c r="O1089" i="1"/>
  <c r="K1089" i="1"/>
  <c r="G1089" i="1"/>
  <c r="C1089" i="1"/>
  <c r="O1088" i="1"/>
  <c r="K1088" i="1"/>
  <c r="G1088" i="1"/>
  <c r="C1088" i="1"/>
  <c r="O1087" i="1"/>
  <c r="K1087" i="1"/>
  <c r="G1087" i="1"/>
  <c r="C1087" i="1"/>
  <c r="O1086" i="1"/>
  <c r="K1086" i="1"/>
  <c r="G1086" i="1"/>
  <c r="C1086" i="1"/>
  <c r="O1085" i="1"/>
  <c r="K1085" i="1"/>
  <c r="G1085" i="1"/>
  <c r="C1085" i="1"/>
  <c r="O1084" i="1"/>
  <c r="K1084" i="1"/>
  <c r="G1084" i="1"/>
  <c r="C1084" i="1"/>
  <c r="O1083" i="1"/>
  <c r="K1083" i="1"/>
  <c r="G1083" i="1"/>
  <c r="C1083" i="1"/>
  <c r="O1082" i="1"/>
  <c r="K1082" i="1"/>
  <c r="G1082" i="1"/>
  <c r="C1082" i="1"/>
  <c r="O1081" i="1"/>
  <c r="K1081" i="1"/>
  <c r="G1081" i="1"/>
  <c r="C1081" i="1"/>
  <c r="O1080" i="1"/>
  <c r="K1080" i="1"/>
  <c r="G1080" i="1"/>
  <c r="C1080" i="1"/>
  <c r="O1079" i="1"/>
  <c r="K1079" i="1"/>
  <c r="G1079" i="1"/>
  <c r="C1079" i="1"/>
  <c r="O1078" i="1"/>
  <c r="K1078" i="1"/>
  <c r="G1078" i="1"/>
  <c r="C1078" i="1"/>
  <c r="O1077" i="1"/>
  <c r="K1077" i="1"/>
  <c r="G1077" i="1"/>
  <c r="C1077" i="1"/>
  <c r="O1076" i="1"/>
  <c r="K1076" i="1"/>
  <c r="G1076" i="1"/>
  <c r="C1076" i="1"/>
  <c r="O1075" i="1"/>
  <c r="K1075" i="1"/>
  <c r="G1075" i="1"/>
  <c r="C1075" i="1"/>
  <c r="O1074" i="1"/>
  <c r="K1074" i="1"/>
  <c r="G1074" i="1"/>
  <c r="C1074" i="1"/>
  <c r="O1073" i="1"/>
  <c r="K1073" i="1"/>
  <c r="G1073" i="1"/>
  <c r="C1073" i="1"/>
  <c r="O1072" i="1"/>
  <c r="K1072" i="1"/>
  <c r="G1072" i="1"/>
  <c r="C1072" i="1"/>
  <c r="O1071" i="1"/>
  <c r="K1071" i="1"/>
  <c r="G1071" i="1"/>
  <c r="C1071" i="1"/>
  <c r="O1070" i="1"/>
  <c r="K1070" i="1"/>
  <c r="G1070" i="1"/>
  <c r="C1070" i="1"/>
  <c r="O1069" i="1"/>
  <c r="K1069" i="1"/>
  <c r="G1069" i="1"/>
  <c r="C1069" i="1"/>
  <c r="O1068" i="1"/>
  <c r="K1068" i="1"/>
  <c r="G1068" i="1"/>
  <c r="C1068" i="1"/>
  <c r="O1067" i="1"/>
  <c r="K1067" i="1"/>
  <c r="G1067" i="1"/>
  <c r="C1067" i="1"/>
  <c r="O1066" i="1"/>
  <c r="K1066" i="1"/>
  <c r="G1066" i="1"/>
  <c r="C1066" i="1"/>
  <c r="O1065" i="1"/>
  <c r="K1065" i="1"/>
  <c r="G1065" i="1"/>
  <c r="C1065" i="1"/>
  <c r="O1064" i="1"/>
  <c r="K1064" i="1"/>
  <c r="G1064" i="1"/>
  <c r="C1064" i="1"/>
  <c r="O1063" i="1"/>
  <c r="K1063" i="1"/>
  <c r="G1063" i="1"/>
  <c r="C1063" i="1"/>
  <c r="O1062" i="1"/>
  <c r="K1062" i="1"/>
  <c r="G1062" i="1"/>
  <c r="C1062" i="1"/>
  <c r="O1061" i="1"/>
  <c r="K1061" i="1"/>
  <c r="G1061" i="1"/>
  <c r="C1061" i="1"/>
  <c r="O1060" i="1"/>
  <c r="K1060" i="1"/>
  <c r="G1060" i="1"/>
  <c r="C1060" i="1"/>
  <c r="O1059" i="1"/>
  <c r="K1059" i="1"/>
  <c r="G1059" i="1"/>
  <c r="C1059" i="1"/>
  <c r="O1058" i="1"/>
  <c r="K1058" i="1"/>
  <c r="G1058" i="1"/>
  <c r="C1058" i="1"/>
  <c r="O1057" i="1"/>
  <c r="K1057" i="1"/>
  <c r="G1057" i="1"/>
  <c r="C1057" i="1"/>
  <c r="O1056" i="1"/>
  <c r="K1056" i="1"/>
  <c r="G1056" i="1"/>
  <c r="C1056" i="1"/>
  <c r="O1055" i="1"/>
  <c r="K1055" i="1"/>
  <c r="G1055" i="1"/>
  <c r="C1055" i="1"/>
  <c r="O1054" i="1"/>
  <c r="K1054" i="1"/>
  <c r="G1054" i="1"/>
  <c r="C1054" i="1"/>
  <c r="O1053" i="1"/>
  <c r="K1053" i="1"/>
  <c r="G1053" i="1"/>
  <c r="C1053" i="1"/>
  <c r="O1052" i="1"/>
  <c r="K1052" i="1"/>
  <c r="G1052" i="1"/>
  <c r="C1052" i="1"/>
  <c r="O1051" i="1"/>
  <c r="K1051" i="1"/>
  <c r="G1051" i="1"/>
  <c r="C1051" i="1"/>
  <c r="O1050" i="1"/>
  <c r="K1050" i="1"/>
  <c r="G1050" i="1"/>
  <c r="C1050" i="1"/>
  <c r="O1049" i="1"/>
  <c r="K1049" i="1"/>
  <c r="G1049" i="1"/>
  <c r="C1049" i="1"/>
  <c r="O1048" i="1"/>
  <c r="K1048" i="1"/>
  <c r="G1048" i="1"/>
  <c r="C1048" i="1"/>
  <c r="O1047" i="1"/>
  <c r="K1047" i="1"/>
  <c r="G1047" i="1"/>
  <c r="C1047" i="1"/>
  <c r="O1046" i="1"/>
  <c r="K1046" i="1"/>
  <c r="G1046" i="1"/>
  <c r="C1046" i="1"/>
  <c r="O1045" i="1"/>
  <c r="K1045" i="1"/>
  <c r="G1045" i="1"/>
  <c r="C1045" i="1"/>
  <c r="O1044" i="1"/>
  <c r="K1044" i="1"/>
  <c r="G1044" i="1"/>
  <c r="C1044" i="1"/>
  <c r="O1043" i="1"/>
  <c r="K1043" i="1"/>
  <c r="G1043" i="1"/>
  <c r="C1043" i="1"/>
  <c r="O1042" i="1"/>
  <c r="K1042" i="1"/>
  <c r="G1042" i="1"/>
  <c r="C1042" i="1"/>
  <c r="O1041" i="1"/>
  <c r="K1041" i="1"/>
  <c r="G1041" i="1"/>
  <c r="C1041" i="1"/>
  <c r="O1040" i="1"/>
  <c r="K1040" i="1"/>
  <c r="G1040" i="1"/>
  <c r="C1040" i="1"/>
  <c r="O1039" i="1"/>
  <c r="K1039" i="1"/>
  <c r="G1039" i="1"/>
  <c r="C1039" i="1"/>
  <c r="O1038" i="1"/>
  <c r="K1038" i="1"/>
  <c r="G1038" i="1"/>
  <c r="C1038" i="1"/>
  <c r="O1037" i="1"/>
  <c r="K1037" i="1"/>
  <c r="G1037" i="1"/>
  <c r="C1037" i="1"/>
  <c r="O1036" i="1"/>
  <c r="K1036" i="1"/>
  <c r="G1036" i="1"/>
  <c r="C1036" i="1"/>
  <c r="O1035" i="1"/>
  <c r="K1035" i="1"/>
  <c r="G1035" i="1"/>
  <c r="C1035" i="1"/>
  <c r="O1034" i="1"/>
  <c r="K1034" i="1"/>
  <c r="G1034" i="1"/>
  <c r="C1034" i="1"/>
  <c r="O1033" i="1"/>
  <c r="K1033" i="1"/>
  <c r="G1033" i="1"/>
  <c r="C1033" i="1"/>
  <c r="O1032" i="1"/>
  <c r="K1032" i="1"/>
  <c r="G1032" i="1"/>
  <c r="C1032" i="1"/>
  <c r="O1031" i="1"/>
  <c r="K1031" i="1"/>
  <c r="G1031" i="1"/>
  <c r="C1031" i="1"/>
  <c r="O1030" i="1"/>
  <c r="K1030" i="1"/>
  <c r="G1030" i="1"/>
  <c r="C1030" i="1"/>
  <c r="O1029" i="1"/>
  <c r="K1029" i="1"/>
  <c r="G1029" i="1"/>
  <c r="C1029" i="1"/>
  <c r="O1028" i="1"/>
  <c r="K1028" i="1"/>
  <c r="G1028" i="1"/>
  <c r="C1028" i="1"/>
  <c r="O1027" i="1"/>
  <c r="K1027" i="1"/>
  <c r="G1027" i="1"/>
  <c r="C1027" i="1"/>
  <c r="O1026" i="1"/>
  <c r="K1026" i="1"/>
  <c r="G1026" i="1"/>
  <c r="C1026" i="1"/>
  <c r="O1025" i="1"/>
  <c r="K1025" i="1"/>
  <c r="G1025" i="1"/>
  <c r="C1025" i="1"/>
  <c r="O1024" i="1"/>
  <c r="K1024" i="1"/>
  <c r="G1024" i="1"/>
  <c r="C1024" i="1"/>
  <c r="O1023" i="1"/>
  <c r="K1023" i="1"/>
  <c r="G1023" i="1"/>
  <c r="C1023" i="1"/>
  <c r="O1022" i="1"/>
  <c r="K1022" i="1"/>
  <c r="G1022" i="1"/>
  <c r="C1022" i="1"/>
  <c r="O1021" i="1"/>
  <c r="K1021" i="1"/>
  <c r="G1021" i="1"/>
  <c r="C1021" i="1"/>
  <c r="O1020" i="1"/>
  <c r="K1020" i="1"/>
  <c r="G1020" i="1"/>
  <c r="C1020" i="1"/>
  <c r="O1019" i="1"/>
  <c r="K1019" i="1"/>
  <c r="G1019" i="1"/>
  <c r="C1019" i="1"/>
  <c r="O1018" i="1"/>
  <c r="K1018" i="1"/>
  <c r="G1018" i="1"/>
  <c r="C1018" i="1"/>
  <c r="O1017" i="1"/>
  <c r="K1017" i="1"/>
  <c r="G1017" i="1"/>
  <c r="C1017" i="1"/>
  <c r="O1016" i="1"/>
  <c r="K1016" i="1"/>
  <c r="G1016" i="1"/>
  <c r="C1016" i="1"/>
  <c r="O1015" i="1"/>
  <c r="K1015" i="1"/>
  <c r="G1015" i="1"/>
  <c r="C1015" i="1"/>
  <c r="O1014" i="1"/>
  <c r="K1014" i="1"/>
  <c r="G1014" i="1"/>
  <c r="C1014" i="1"/>
  <c r="O1013" i="1"/>
  <c r="K1013" i="1"/>
  <c r="G1013" i="1"/>
  <c r="C1013" i="1"/>
  <c r="O1012" i="1"/>
  <c r="K1012" i="1"/>
  <c r="G1012" i="1"/>
  <c r="C1012" i="1"/>
  <c r="O1011" i="1"/>
  <c r="K1011" i="1"/>
  <c r="G1011" i="1"/>
  <c r="C1011" i="1"/>
  <c r="O1010" i="1"/>
  <c r="K1010" i="1"/>
  <c r="G1010" i="1"/>
  <c r="C1010" i="1"/>
  <c r="O1009" i="1"/>
  <c r="K1009" i="1"/>
  <c r="G1009" i="1"/>
  <c r="C1009" i="1"/>
  <c r="O1008" i="1"/>
  <c r="K1008" i="1"/>
  <c r="G1008" i="1"/>
  <c r="C1008" i="1"/>
  <c r="O1007" i="1"/>
  <c r="K1007" i="1"/>
  <c r="G1007" i="1"/>
  <c r="C1007" i="1"/>
  <c r="O1006" i="1"/>
  <c r="K1006" i="1"/>
  <c r="G1006" i="1"/>
  <c r="C1006" i="1"/>
  <c r="O1005" i="1"/>
  <c r="K1005" i="1"/>
  <c r="G1005" i="1"/>
  <c r="C1005" i="1"/>
  <c r="O1004" i="1"/>
  <c r="K1004" i="1"/>
  <c r="G1004" i="1"/>
  <c r="C1004" i="1"/>
  <c r="O1003" i="1"/>
  <c r="K1003" i="1"/>
  <c r="G1003" i="1"/>
  <c r="C1003" i="1"/>
  <c r="O1002" i="1"/>
  <c r="K1002" i="1"/>
  <c r="G1002" i="1"/>
  <c r="C1002" i="1"/>
  <c r="O1001" i="1"/>
  <c r="K1001" i="1"/>
  <c r="G1001" i="1"/>
  <c r="C1001" i="1"/>
  <c r="O1000" i="1"/>
  <c r="K1000" i="1"/>
  <c r="G1000" i="1"/>
  <c r="C1000" i="1"/>
  <c r="O999" i="1"/>
  <c r="K999" i="1"/>
  <c r="G999" i="1"/>
  <c r="C999" i="1"/>
  <c r="O998" i="1"/>
  <c r="K998" i="1"/>
  <c r="G998" i="1"/>
  <c r="C998" i="1"/>
  <c r="O997" i="1"/>
  <c r="K997" i="1"/>
  <c r="G997" i="1"/>
  <c r="C997" i="1"/>
  <c r="O996" i="1"/>
  <c r="K996" i="1"/>
  <c r="G996" i="1"/>
  <c r="C996" i="1"/>
  <c r="O995" i="1"/>
  <c r="K995" i="1"/>
  <c r="G995" i="1"/>
  <c r="C995" i="1"/>
  <c r="O994" i="1"/>
  <c r="K994" i="1"/>
  <c r="G994" i="1"/>
  <c r="C994" i="1"/>
  <c r="O993" i="1"/>
  <c r="K993" i="1"/>
  <c r="G993" i="1"/>
  <c r="C993" i="1"/>
  <c r="O992" i="1"/>
  <c r="K992" i="1"/>
  <c r="G992" i="1"/>
  <c r="C992" i="1"/>
  <c r="O991" i="1"/>
  <c r="K991" i="1"/>
  <c r="G991" i="1"/>
  <c r="C991" i="1"/>
  <c r="O990" i="1"/>
  <c r="K990" i="1"/>
  <c r="G990" i="1"/>
  <c r="C990" i="1"/>
  <c r="O989" i="1"/>
  <c r="K989" i="1"/>
  <c r="G989" i="1"/>
  <c r="C989" i="1"/>
  <c r="O988" i="1"/>
  <c r="K988" i="1"/>
  <c r="G988" i="1"/>
  <c r="C988" i="1"/>
  <c r="O987" i="1"/>
  <c r="K987" i="1"/>
  <c r="G987" i="1"/>
  <c r="C987" i="1"/>
  <c r="O986" i="1"/>
  <c r="K986" i="1"/>
  <c r="G986" i="1"/>
  <c r="C986" i="1"/>
  <c r="O985" i="1"/>
  <c r="K985" i="1"/>
  <c r="G985" i="1"/>
  <c r="C985" i="1"/>
  <c r="O984" i="1"/>
  <c r="K984" i="1"/>
  <c r="G984" i="1"/>
  <c r="C984" i="1"/>
  <c r="O983" i="1"/>
  <c r="K983" i="1"/>
  <c r="G983" i="1"/>
  <c r="C983" i="1"/>
  <c r="O982" i="1"/>
  <c r="K982" i="1"/>
  <c r="G982" i="1"/>
  <c r="C982" i="1"/>
  <c r="O981" i="1"/>
  <c r="K981" i="1"/>
  <c r="G981" i="1"/>
  <c r="C981" i="1"/>
  <c r="O980" i="1"/>
  <c r="K980" i="1"/>
  <c r="G980" i="1"/>
  <c r="C980" i="1"/>
  <c r="O979" i="1"/>
  <c r="K979" i="1"/>
  <c r="G979" i="1"/>
  <c r="C979" i="1"/>
  <c r="O978" i="1"/>
  <c r="K978" i="1"/>
  <c r="G978" i="1"/>
  <c r="C978" i="1"/>
  <c r="O977" i="1"/>
  <c r="K977" i="1"/>
  <c r="G977" i="1"/>
  <c r="C977" i="1"/>
  <c r="O976" i="1"/>
  <c r="K976" i="1"/>
  <c r="G976" i="1"/>
  <c r="C976" i="1"/>
  <c r="O975" i="1"/>
  <c r="K975" i="1"/>
  <c r="G975" i="1"/>
  <c r="C975" i="1"/>
  <c r="O974" i="1"/>
  <c r="K974" i="1"/>
  <c r="G974" i="1"/>
  <c r="C974" i="1"/>
  <c r="O973" i="1"/>
  <c r="K973" i="1"/>
  <c r="G973" i="1"/>
  <c r="C973" i="1"/>
  <c r="O972" i="1"/>
  <c r="K972" i="1"/>
  <c r="G972" i="1"/>
  <c r="C972" i="1"/>
  <c r="O971" i="1"/>
  <c r="K971" i="1"/>
  <c r="G971" i="1"/>
  <c r="C971" i="1"/>
  <c r="O970" i="1"/>
  <c r="K970" i="1"/>
  <c r="G970" i="1"/>
  <c r="C970" i="1"/>
  <c r="O969" i="1"/>
  <c r="K969" i="1"/>
  <c r="G969" i="1"/>
  <c r="C969" i="1"/>
  <c r="O968" i="1"/>
  <c r="K968" i="1"/>
  <c r="G968" i="1"/>
  <c r="C968" i="1"/>
  <c r="O967" i="1"/>
  <c r="K967" i="1"/>
  <c r="G967" i="1"/>
  <c r="C967" i="1"/>
  <c r="O966" i="1"/>
  <c r="K966" i="1"/>
  <c r="G966" i="1"/>
  <c r="C966" i="1"/>
  <c r="O965" i="1"/>
  <c r="K965" i="1"/>
  <c r="G965" i="1"/>
  <c r="C965" i="1"/>
  <c r="O964" i="1"/>
  <c r="K964" i="1"/>
  <c r="G964" i="1"/>
  <c r="C964" i="1"/>
  <c r="O963" i="1"/>
  <c r="K963" i="1"/>
  <c r="G963" i="1"/>
  <c r="C963" i="1"/>
  <c r="O962" i="1"/>
  <c r="K962" i="1"/>
  <c r="G962" i="1"/>
  <c r="C962" i="1"/>
  <c r="O961" i="1"/>
  <c r="K961" i="1"/>
  <c r="G961" i="1"/>
  <c r="C961" i="1"/>
  <c r="O960" i="1"/>
  <c r="K960" i="1"/>
  <c r="G960" i="1"/>
  <c r="C960" i="1"/>
  <c r="O959" i="1"/>
  <c r="K959" i="1"/>
  <c r="G959" i="1"/>
  <c r="C959" i="1"/>
  <c r="O958" i="1"/>
  <c r="K958" i="1"/>
  <c r="G958" i="1"/>
  <c r="C958" i="1"/>
  <c r="O957" i="1"/>
  <c r="K957" i="1"/>
  <c r="G957" i="1"/>
  <c r="C957" i="1"/>
  <c r="O956" i="1"/>
  <c r="K956" i="1"/>
  <c r="G956" i="1"/>
  <c r="C956" i="1"/>
  <c r="O955" i="1"/>
  <c r="K955" i="1"/>
  <c r="G955" i="1"/>
  <c r="C955" i="1"/>
  <c r="O954" i="1"/>
  <c r="K954" i="1"/>
  <c r="G954" i="1"/>
  <c r="C954" i="1"/>
  <c r="O953" i="1"/>
  <c r="K953" i="1"/>
  <c r="G953" i="1"/>
  <c r="C953" i="1"/>
  <c r="O952" i="1"/>
  <c r="K952" i="1"/>
  <c r="G952" i="1"/>
  <c r="C952" i="1"/>
  <c r="O951" i="1"/>
  <c r="K951" i="1"/>
  <c r="G951" i="1"/>
  <c r="C951" i="1"/>
  <c r="O950" i="1"/>
  <c r="K950" i="1"/>
  <c r="G950" i="1"/>
  <c r="C950" i="1"/>
  <c r="O949" i="1"/>
  <c r="K949" i="1"/>
  <c r="G949" i="1"/>
  <c r="C949" i="1"/>
  <c r="O948" i="1"/>
  <c r="K948" i="1"/>
  <c r="G948" i="1"/>
  <c r="C948" i="1"/>
  <c r="O947" i="1"/>
  <c r="K947" i="1"/>
  <c r="G947" i="1"/>
  <c r="C947" i="1"/>
  <c r="O946" i="1"/>
  <c r="K946" i="1"/>
  <c r="G946" i="1"/>
  <c r="C946" i="1"/>
  <c r="O945" i="1"/>
  <c r="K945" i="1"/>
  <c r="G945" i="1"/>
  <c r="C945" i="1"/>
  <c r="O944" i="1"/>
  <c r="K944" i="1"/>
  <c r="G944" i="1"/>
  <c r="C944" i="1"/>
  <c r="O943" i="1"/>
  <c r="K943" i="1"/>
  <c r="G943" i="1"/>
  <c r="C943" i="1"/>
  <c r="O942" i="1"/>
  <c r="K942" i="1"/>
  <c r="G942" i="1"/>
  <c r="C942" i="1"/>
  <c r="O941" i="1"/>
  <c r="K941" i="1"/>
  <c r="G941" i="1"/>
  <c r="C941" i="1"/>
  <c r="O940" i="1"/>
  <c r="K940" i="1"/>
  <c r="G940" i="1"/>
  <c r="C940" i="1"/>
  <c r="O939" i="1"/>
  <c r="K939" i="1"/>
  <c r="G939" i="1"/>
  <c r="C939" i="1"/>
  <c r="O938" i="1"/>
  <c r="K938" i="1"/>
  <c r="G938" i="1"/>
  <c r="C938" i="1"/>
  <c r="O937" i="1"/>
  <c r="K937" i="1"/>
  <c r="G937" i="1"/>
  <c r="C937" i="1"/>
  <c r="O936" i="1"/>
  <c r="K936" i="1"/>
  <c r="G936" i="1"/>
  <c r="C936" i="1"/>
  <c r="O935" i="1"/>
  <c r="K935" i="1"/>
  <c r="G935" i="1"/>
  <c r="C935" i="1"/>
  <c r="O934" i="1"/>
  <c r="K934" i="1"/>
  <c r="G934" i="1"/>
  <c r="C934" i="1"/>
  <c r="O933" i="1"/>
  <c r="K933" i="1"/>
  <c r="G933" i="1"/>
  <c r="C933" i="1"/>
  <c r="O932" i="1"/>
  <c r="K932" i="1"/>
  <c r="G932" i="1"/>
  <c r="C932" i="1"/>
  <c r="O931" i="1"/>
  <c r="K931" i="1"/>
  <c r="G931" i="1"/>
  <c r="C931" i="1"/>
  <c r="O930" i="1"/>
  <c r="K930" i="1"/>
  <c r="G930" i="1"/>
  <c r="C930" i="1"/>
  <c r="O929" i="1"/>
  <c r="K929" i="1"/>
  <c r="G929" i="1"/>
  <c r="C929" i="1"/>
  <c r="O928" i="1"/>
  <c r="K928" i="1"/>
  <c r="G928" i="1"/>
  <c r="C928" i="1"/>
  <c r="O927" i="1"/>
  <c r="K927" i="1"/>
  <c r="G927" i="1"/>
  <c r="C927" i="1"/>
  <c r="O926" i="1"/>
  <c r="K926" i="1"/>
  <c r="G926" i="1"/>
  <c r="C926" i="1"/>
  <c r="O925" i="1"/>
  <c r="K925" i="1"/>
  <c r="G925" i="1"/>
  <c r="C925" i="1"/>
  <c r="O924" i="1"/>
  <c r="K924" i="1"/>
  <c r="G924" i="1"/>
  <c r="C924" i="1"/>
  <c r="O923" i="1"/>
  <c r="K923" i="1"/>
  <c r="G923" i="1"/>
  <c r="C923" i="1"/>
  <c r="O922" i="1"/>
  <c r="K922" i="1"/>
  <c r="G922" i="1"/>
  <c r="C922" i="1"/>
  <c r="O921" i="1"/>
  <c r="K921" i="1"/>
  <c r="G921" i="1"/>
  <c r="C921" i="1"/>
  <c r="O920" i="1"/>
  <c r="K920" i="1"/>
  <c r="G920" i="1"/>
  <c r="C920" i="1"/>
  <c r="O919" i="1"/>
  <c r="K919" i="1"/>
  <c r="G919" i="1"/>
  <c r="C919" i="1"/>
  <c r="O918" i="1"/>
  <c r="K918" i="1"/>
  <c r="G918" i="1"/>
  <c r="C918" i="1"/>
  <c r="O917" i="1"/>
  <c r="K917" i="1"/>
  <c r="G917" i="1"/>
  <c r="C917" i="1"/>
  <c r="O916" i="1"/>
  <c r="K916" i="1"/>
  <c r="G916" i="1"/>
  <c r="C916" i="1"/>
  <c r="O915" i="1"/>
  <c r="K915" i="1"/>
  <c r="G915" i="1"/>
  <c r="C915" i="1"/>
  <c r="O914" i="1"/>
  <c r="K914" i="1"/>
  <c r="G914" i="1"/>
  <c r="C914" i="1"/>
  <c r="O913" i="1"/>
  <c r="K913" i="1"/>
  <c r="G913" i="1"/>
  <c r="C913" i="1"/>
  <c r="O912" i="1"/>
  <c r="K912" i="1"/>
  <c r="G912" i="1"/>
  <c r="C912" i="1"/>
  <c r="O911" i="1"/>
  <c r="K911" i="1"/>
  <c r="G911" i="1"/>
  <c r="C911" i="1"/>
  <c r="O910" i="1"/>
  <c r="K910" i="1"/>
  <c r="G910" i="1"/>
  <c r="C910" i="1"/>
  <c r="O909" i="1"/>
  <c r="K909" i="1"/>
  <c r="G909" i="1"/>
  <c r="C909" i="1"/>
  <c r="O908" i="1"/>
  <c r="K908" i="1"/>
  <c r="G908" i="1"/>
  <c r="C908" i="1"/>
  <c r="O907" i="1"/>
  <c r="K907" i="1"/>
  <c r="G907" i="1"/>
  <c r="C907" i="1"/>
  <c r="O906" i="1"/>
  <c r="K906" i="1"/>
  <c r="G906" i="1"/>
  <c r="C906" i="1"/>
  <c r="O905" i="1"/>
  <c r="K905" i="1"/>
  <c r="G905" i="1"/>
  <c r="C905" i="1"/>
  <c r="O904" i="1"/>
  <c r="K904" i="1"/>
  <c r="G904" i="1"/>
  <c r="C904" i="1"/>
  <c r="O903" i="1"/>
  <c r="K903" i="1"/>
  <c r="G903" i="1"/>
  <c r="C903" i="1"/>
  <c r="O902" i="1"/>
  <c r="K902" i="1"/>
  <c r="G902" i="1"/>
  <c r="C902" i="1"/>
  <c r="O901" i="1"/>
  <c r="K901" i="1"/>
  <c r="G901" i="1"/>
  <c r="C901" i="1"/>
  <c r="O900" i="1"/>
  <c r="K900" i="1"/>
  <c r="G900" i="1"/>
  <c r="C900" i="1"/>
  <c r="O899" i="1"/>
  <c r="K899" i="1"/>
  <c r="G899" i="1"/>
  <c r="C899" i="1"/>
  <c r="O898" i="1"/>
  <c r="K898" i="1"/>
  <c r="G898" i="1"/>
  <c r="C898" i="1"/>
  <c r="O897" i="1"/>
  <c r="K897" i="1"/>
  <c r="G897" i="1"/>
  <c r="C897" i="1"/>
  <c r="O896" i="1"/>
  <c r="K896" i="1"/>
  <c r="G896" i="1"/>
  <c r="C896" i="1"/>
  <c r="O895" i="1"/>
  <c r="K895" i="1"/>
  <c r="G895" i="1"/>
  <c r="C895" i="1"/>
  <c r="O894" i="1"/>
  <c r="K894" i="1"/>
  <c r="G894" i="1"/>
  <c r="C894" i="1"/>
  <c r="O893" i="1"/>
  <c r="K893" i="1"/>
  <c r="G893" i="1"/>
  <c r="C893" i="1"/>
  <c r="O892" i="1"/>
  <c r="K892" i="1"/>
  <c r="G892" i="1"/>
  <c r="C892" i="1"/>
  <c r="O891" i="1"/>
  <c r="K891" i="1"/>
  <c r="G891" i="1"/>
  <c r="C891" i="1"/>
  <c r="O890" i="1"/>
  <c r="K890" i="1"/>
  <c r="G890" i="1"/>
  <c r="C890" i="1"/>
  <c r="O889" i="1"/>
  <c r="K889" i="1"/>
  <c r="G889" i="1"/>
  <c r="C889" i="1"/>
  <c r="O888" i="1"/>
  <c r="K888" i="1"/>
  <c r="G888" i="1"/>
  <c r="C888" i="1"/>
  <c r="O887" i="1"/>
  <c r="K887" i="1"/>
  <c r="G887" i="1"/>
  <c r="C887" i="1"/>
  <c r="O886" i="1"/>
  <c r="K886" i="1"/>
  <c r="G886" i="1"/>
  <c r="C886" i="1"/>
  <c r="O885" i="1"/>
  <c r="K885" i="1"/>
  <c r="G885" i="1"/>
  <c r="C885" i="1"/>
  <c r="O884" i="1"/>
  <c r="K884" i="1"/>
  <c r="G884" i="1"/>
  <c r="C884" i="1"/>
  <c r="O883" i="1"/>
  <c r="K883" i="1"/>
  <c r="G883" i="1"/>
  <c r="C883" i="1"/>
  <c r="O882" i="1"/>
  <c r="K882" i="1"/>
  <c r="G882" i="1"/>
  <c r="C882" i="1"/>
  <c r="O881" i="1"/>
  <c r="K881" i="1"/>
  <c r="G881" i="1"/>
  <c r="C881" i="1"/>
  <c r="O880" i="1"/>
  <c r="K880" i="1"/>
  <c r="G880" i="1"/>
  <c r="C880" i="1"/>
  <c r="O879" i="1"/>
  <c r="K879" i="1"/>
  <c r="G879" i="1"/>
  <c r="C879" i="1"/>
  <c r="O878" i="1"/>
  <c r="K878" i="1"/>
  <c r="G878" i="1"/>
  <c r="C878" i="1"/>
  <c r="O877" i="1"/>
  <c r="K877" i="1"/>
  <c r="G877" i="1"/>
  <c r="C877" i="1"/>
  <c r="O876" i="1"/>
  <c r="K876" i="1"/>
  <c r="G876" i="1"/>
  <c r="C876" i="1"/>
  <c r="O875" i="1"/>
  <c r="K875" i="1"/>
  <c r="G875" i="1"/>
  <c r="C875" i="1"/>
  <c r="O874" i="1"/>
  <c r="K874" i="1"/>
  <c r="G874" i="1"/>
  <c r="C874" i="1"/>
  <c r="O873" i="1"/>
  <c r="K873" i="1"/>
  <c r="G873" i="1"/>
  <c r="C873" i="1"/>
  <c r="O872" i="1"/>
  <c r="K872" i="1"/>
  <c r="G872" i="1"/>
  <c r="C872" i="1"/>
  <c r="O871" i="1"/>
  <c r="K871" i="1"/>
  <c r="G871" i="1"/>
  <c r="C871" i="1"/>
  <c r="O870" i="1"/>
  <c r="K870" i="1"/>
  <c r="G870" i="1"/>
  <c r="C870" i="1"/>
  <c r="O869" i="1"/>
  <c r="K869" i="1"/>
  <c r="G869" i="1"/>
  <c r="C869" i="1"/>
  <c r="O868" i="1"/>
  <c r="K868" i="1"/>
  <c r="G868" i="1"/>
  <c r="C868" i="1"/>
  <c r="O867" i="1"/>
  <c r="K867" i="1"/>
  <c r="G867" i="1"/>
  <c r="C867" i="1"/>
  <c r="O866" i="1"/>
  <c r="K866" i="1"/>
  <c r="G866" i="1"/>
  <c r="C866" i="1"/>
  <c r="O865" i="1"/>
  <c r="K865" i="1"/>
  <c r="G865" i="1"/>
  <c r="C865" i="1"/>
  <c r="O864" i="1"/>
  <c r="K864" i="1"/>
  <c r="G864" i="1"/>
  <c r="C864" i="1"/>
  <c r="O863" i="1"/>
  <c r="K863" i="1"/>
  <c r="G863" i="1"/>
  <c r="C863" i="1"/>
  <c r="O862" i="1"/>
  <c r="K862" i="1"/>
  <c r="G862" i="1"/>
  <c r="C862" i="1"/>
  <c r="O861" i="1"/>
  <c r="K861" i="1"/>
  <c r="G861" i="1"/>
  <c r="C861" i="1"/>
  <c r="O860" i="1"/>
  <c r="K860" i="1"/>
  <c r="G860" i="1"/>
  <c r="C860" i="1"/>
  <c r="O859" i="1"/>
  <c r="K859" i="1"/>
  <c r="G859" i="1"/>
  <c r="C859" i="1"/>
  <c r="O858" i="1"/>
  <c r="K858" i="1"/>
  <c r="G858" i="1"/>
  <c r="C858" i="1"/>
  <c r="O857" i="1"/>
  <c r="K857" i="1"/>
  <c r="G857" i="1"/>
  <c r="C857" i="1"/>
  <c r="O856" i="1"/>
  <c r="K856" i="1"/>
  <c r="G856" i="1"/>
  <c r="C856" i="1"/>
  <c r="O855" i="1"/>
  <c r="K855" i="1"/>
  <c r="G855" i="1"/>
  <c r="C855" i="1"/>
  <c r="O854" i="1"/>
  <c r="K854" i="1"/>
  <c r="G854" i="1"/>
  <c r="C854" i="1"/>
  <c r="O853" i="1"/>
  <c r="K853" i="1"/>
  <c r="G853" i="1"/>
  <c r="C853" i="1"/>
  <c r="O852" i="1"/>
  <c r="K852" i="1"/>
  <c r="G852" i="1"/>
  <c r="C852" i="1"/>
  <c r="O851" i="1"/>
  <c r="K851" i="1"/>
  <c r="G851" i="1"/>
  <c r="C851" i="1"/>
  <c r="O850" i="1"/>
  <c r="K850" i="1"/>
  <c r="G850" i="1"/>
  <c r="C850" i="1"/>
  <c r="O849" i="1"/>
  <c r="K849" i="1"/>
  <c r="G849" i="1"/>
  <c r="C849" i="1"/>
  <c r="O848" i="1"/>
  <c r="K848" i="1"/>
  <c r="G848" i="1"/>
  <c r="C848" i="1"/>
  <c r="O847" i="1"/>
  <c r="K847" i="1"/>
  <c r="G847" i="1"/>
  <c r="C847" i="1"/>
  <c r="O846" i="1"/>
  <c r="K846" i="1"/>
  <c r="G846" i="1"/>
  <c r="C846" i="1"/>
  <c r="O845" i="1"/>
  <c r="K845" i="1"/>
  <c r="G845" i="1"/>
  <c r="C845" i="1"/>
  <c r="O844" i="1"/>
  <c r="K844" i="1"/>
  <c r="G844" i="1"/>
  <c r="C844" i="1"/>
  <c r="O843" i="1"/>
  <c r="K843" i="1"/>
  <c r="G843" i="1"/>
  <c r="C843" i="1"/>
  <c r="O842" i="1"/>
  <c r="K842" i="1"/>
  <c r="G842" i="1"/>
  <c r="C842" i="1"/>
  <c r="O841" i="1"/>
  <c r="K841" i="1"/>
  <c r="G841" i="1"/>
  <c r="C841" i="1"/>
  <c r="O840" i="1"/>
  <c r="K840" i="1"/>
  <c r="G840" i="1"/>
  <c r="C840" i="1"/>
  <c r="O839" i="1"/>
  <c r="K839" i="1"/>
  <c r="G839" i="1"/>
  <c r="C839" i="1"/>
  <c r="O838" i="1"/>
  <c r="K838" i="1"/>
  <c r="G838" i="1"/>
  <c r="C838" i="1"/>
  <c r="O837" i="1"/>
  <c r="K837" i="1"/>
  <c r="G837" i="1"/>
  <c r="C837" i="1"/>
  <c r="O836" i="1"/>
  <c r="K836" i="1"/>
  <c r="G836" i="1"/>
  <c r="C836" i="1"/>
  <c r="O835" i="1"/>
  <c r="K835" i="1"/>
  <c r="G835" i="1"/>
  <c r="C835" i="1"/>
  <c r="O834" i="1"/>
  <c r="K834" i="1"/>
  <c r="G834" i="1"/>
  <c r="C834" i="1"/>
  <c r="O833" i="1"/>
  <c r="K833" i="1"/>
  <c r="G833" i="1"/>
  <c r="C833" i="1"/>
  <c r="O832" i="1"/>
  <c r="K832" i="1"/>
  <c r="G832" i="1"/>
  <c r="C832" i="1"/>
  <c r="O831" i="1"/>
  <c r="K831" i="1"/>
  <c r="G831" i="1"/>
  <c r="C831" i="1"/>
  <c r="O830" i="1"/>
  <c r="K830" i="1"/>
  <c r="G830" i="1"/>
  <c r="C830" i="1"/>
  <c r="O829" i="1"/>
  <c r="K829" i="1"/>
  <c r="G829" i="1"/>
  <c r="C829" i="1"/>
  <c r="O828" i="1"/>
  <c r="K828" i="1"/>
  <c r="G828" i="1"/>
  <c r="C828" i="1"/>
  <c r="O827" i="1"/>
  <c r="K827" i="1"/>
  <c r="G827" i="1"/>
  <c r="C827" i="1"/>
  <c r="O826" i="1"/>
  <c r="K826" i="1"/>
  <c r="G826" i="1"/>
  <c r="C826" i="1"/>
  <c r="O825" i="1"/>
  <c r="K825" i="1"/>
  <c r="G825" i="1"/>
  <c r="C825" i="1"/>
  <c r="O824" i="1"/>
  <c r="K824" i="1"/>
  <c r="G824" i="1"/>
  <c r="C824" i="1"/>
  <c r="O823" i="1"/>
  <c r="K823" i="1"/>
  <c r="G823" i="1"/>
  <c r="C823" i="1"/>
  <c r="O822" i="1"/>
  <c r="K822" i="1"/>
  <c r="G822" i="1"/>
  <c r="C822" i="1"/>
  <c r="O821" i="1"/>
  <c r="K821" i="1"/>
  <c r="G821" i="1"/>
  <c r="C821" i="1"/>
  <c r="O820" i="1"/>
  <c r="K820" i="1"/>
  <c r="G820" i="1"/>
  <c r="C820" i="1"/>
  <c r="O819" i="1"/>
  <c r="K819" i="1"/>
  <c r="G819" i="1"/>
  <c r="C819" i="1"/>
  <c r="O818" i="1"/>
  <c r="K818" i="1"/>
  <c r="G818" i="1"/>
  <c r="C818" i="1"/>
  <c r="O817" i="1"/>
  <c r="K817" i="1"/>
  <c r="G817" i="1"/>
  <c r="C817" i="1"/>
  <c r="O816" i="1"/>
  <c r="K816" i="1"/>
  <c r="G816" i="1"/>
  <c r="C816" i="1"/>
  <c r="O815" i="1"/>
  <c r="K815" i="1"/>
  <c r="G815" i="1"/>
  <c r="C815" i="1"/>
  <c r="O814" i="1"/>
  <c r="K814" i="1"/>
  <c r="G814" i="1"/>
  <c r="C814" i="1"/>
  <c r="O813" i="1"/>
  <c r="K813" i="1"/>
  <c r="G813" i="1"/>
  <c r="C813" i="1"/>
  <c r="O812" i="1"/>
  <c r="K812" i="1"/>
  <c r="G812" i="1"/>
  <c r="C812" i="1"/>
  <c r="O811" i="1"/>
  <c r="K811" i="1"/>
  <c r="G811" i="1"/>
  <c r="C811" i="1"/>
  <c r="O810" i="1"/>
  <c r="K810" i="1"/>
  <c r="G810" i="1"/>
  <c r="C810" i="1"/>
  <c r="O809" i="1"/>
  <c r="K809" i="1"/>
  <c r="G809" i="1"/>
  <c r="C809" i="1"/>
  <c r="O808" i="1"/>
  <c r="K808" i="1"/>
  <c r="G808" i="1"/>
  <c r="C808" i="1"/>
  <c r="O807" i="1"/>
  <c r="K807" i="1"/>
  <c r="G807" i="1"/>
  <c r="C807" i="1"/>
  <c r="O806" i="1"/>
  <c r="K806" i="1"/>
  <c r="G806" i="1"/>
  <c r="C806" i="1"/>
  <c r="O805" i="1"/>
  <c r="K805" i="1"/>
  <c r="G805" i="1"/>
  <c r="C805" i="1"/>
  <c r="O804" i="1"/>
  <c r="K804" i="1"/>
  <c r="G804" i="1"/>
  <c r="C804" i="1"/>
  <c r="O803" i="1"/>
  <c r="K803" i="1"/>
  <c r="G803" i="1"/>
  <c r="C803" i="1"/>
  <c r="O802" i="1"/>
  <c r="K802" i="1"/>
  <c r="G802" i="1"/>
  <c r="C802" i="1"/>
  <c r="O801" i="1"/>
  <c r="K801" i="1"/>
  <c r="G801" i="1"/>
  <c r="C801" i="1"/>
  <c r="O800" i="1"/>
  <c r="K800" i="1"/>
  <c r="G800" i="1"/>
  <c r="C800" i="1"/>
  <c r="O799" i="1"/>
  <c r="K799" i="1"/>
  <c r="G799" i="1"/>
  <c r="C799" i="1"/>
  <c r="O798" i="1"/>
  <c r="K798" i="1"/>
  <c r="G798" i="1"/>
  <c r="C798" i="1"/>
  <c r="O797" i="1"/>
  <c r="K797" i="1"/>
  <c r="G797" i="1"/>
  <c r="C797" i="1"/>
  <c r="O796" i="1"/>
  <c r="K796" i="1"/>
  <c r="G796" i="1"/>
  <c r="C796" i="1"/>
  <c r="O795" i="1"/>
  <c r="K795" i="1"/>
  <c r="G795" i="1"/>
  <c r="C795" i="1"/>
  <c r="O794" i="1"/>
  <c r="K794" i="1"/>
  <c r="G794" i="1"/>
  <c r="C794" i="1"/>
  <c r="O793" i="1"/>
  <c r="K793" i="1"/>
  <c r="G793" i="1"/>
  <c r="C793" i="1"/>
  <c r="O792" i="1"/>
  <c r="K792" i="1"/>
  <c r="G792" i="1"/>
  <c r="C792" i="1"/>
  <c r="O791" i="1"/>
  <c r="K791" i="1"/>
  <c r="G791" i="1"/>
  <c r="C791" i="1"/>
  <c r="O790" i="1"/>
  <c r="K790" i="1"/>
  <c r="G790" i="1"/>
  <c r="C790" i="1"/>
  <c r="O789" i="1"/>
  <c r="K789" i="1"/>
  <c r="G789" i="1"/>
  <c r="C789" i="1"/>
  <c r="O788" i="1"/>
  <c r="K788" i="1"/>
  <c r="G788" i="1"/>
  <c r="C788" i="1"/>
  <c r="O787" i="1"/>
  <c r="K787" i="1"/>
  <c r="G787" i="1"/>
  <c r="C787" i="1"/>
  <c r="O786" i="1"/>
  <c r="K786" i="1"/>
  <c r="G786" i="1"/>
  <c r="C786" i="1"/>
  <c r="O785" i="1"/>
  <c r="K785" i="1"/>
  <c r="G785" i="1"/>
  <c r="C785" i="1"/>
  <c r="O784" i="1"/>
  <c r="K784" i="1"/>
  <c r="G784" i="1"/>
  <c r="C784" i="1"/>
  <c r="O783" i="1"/>
  <c r="K783" i="1"/>
  <c r="G783" i="1"/>
  <c r="C783" i="1"/>
  <c r="O782" i="1"/>
  <c r="K782" i="1"/>
  <c r="G782" i="1"/>
  <c r="C782" i="1"/>
  <c r="O781" i="1"/>
  <c r="K781" i="1"/>
  <c r="G781" i="1"/>
  <c r="C781" i="1"/>
  <c r="O780" i="1"/>
  <c r="K780" i="1"/>
  <c r="G780" i="1"/>
  <c r="C780" i="1"/>
  <c r="O779" i="1"/>
  <c r="K779" i="1"/>
  <c r="G779" i="1"/>
  <c r="C779" i="1"/>
  <c r="O778" i="1"/>
  <c r="K778" i="1"/>
  <c r="G778" i="1"/>
  <c r="C778" i="1"/>
  <c r="O777" i="1"/>
  <c r="K777" i="1"/>
  <c r="G777" i="1"/>
  <c r="C777" i="1"/>
  <c r="O776" i="1"/>
  <c r="K776" i="1"/>
  <c r="G776" i="1"/>
  <c r="C776" i="1"/>
  <c r="O775" i="1"/>
  <c r="K775" i="1"/>
  <c r="G775" i="1"/>
  <c r="C775" i="1"/>
  <c r="O774" i="1"/>
  <c r="K774" i="1"/>
  <c r="G774" i="1"/>
  <c r="C774" i="1"/>
  <c r="O773" i="1"/>
  <c r="K773" i="1"/>
  <c r="G773" i="1"/>
  <c r="C773" i="1"/>
  <c r="O772" i="1"/>
  <c r="K772" i="1"/>
  <c r="G772" i="1"/>
  <c r="C772" i="1"/>
  <c r="O771" i="1"/>
  <c r="K771" i="1"/>
  <c r="G771" i="1"/>
  <c r="C771" i="1"/>
  <c r="O770" i="1"/>
  <c r="K770" i="1"/>
  <c r="G770" i="1"/>
  <c r="C770" i="1"/>
  <c r="O769" i="1"/>
  <c r="K769" i="1"/>
  <c r="G769" i="1"/>
  <c r="C769" i="1"/>
  <c r="O768" i="1"/>
  <c r="K768" i="1"/>
  <c r="G768" i="1"/>
  <c r="C768" i="1"/>
  <c r="O767" i="1"/>
  <c r="K767" i="1"/>
  <c r="G767" i="1"/>
  <c r="C767" i="1"/>
  <c r="O766" i="1"/>
  <c r="K766" i="1"/>
  <c r="G766" i="1"/>
  <c r="C766" i="1"/>
  <c r="O765" i="1"/>
  <c r="K765" i="1"/>
  <c r="G765" i="1"/>
  <c r="C765" i="1"/>
  <c r="O764" i="1"/>
  <c r="K764" i="1"/>
  <c r="G764" i="1"/>
  <c r="C764" i="1"/>
  <c r="O763" i="1"/>
  <c r="K763" i="1"/>
  <c r="G763" i="1"/>
  <c r="C763" i="1"/>
  <c r="O762" i="1"/>
  <c r="K762" i="1"/>
  <c r="G762" i="1"/>
  <c r="C762" i="1"/>
  <c r="O761" i="1"/>
  <c r="K761" i="1"/>
  <c r="G761" i="1"/>
  <c r="C761" i="1"/>
  <c r="O760" i="1"/>
  <c r="K760" i="1"/>
  <c r="G760" i="1"/>
  <c r="C760" i="1"/>
  <c r="O759" i="1"/>
  <c r="K759" i="1"/>
  <c r="G759" i="1"/>
  <c r="C759" i="1"/>
  <c r="O758" i="1"/>
  <c r="K758" i="1"/>
  <c r="G758" i="1"/>
  <c r="C758" i="1"/>
  <c r="O757" i="1"/>
  <c r="K757" i="1"/>
  <c r="G757" i="1"/>
  <c r="C757" i="1"/>
  <c r="O756" i="1"/>
  <c r="K756" i="1"/>
  <c r="G756" i="1"/>
  <c r="C756" i="1"/>
  <c r="O755" i="1"/>
  <c r="K755" i="1"/>
  <c r="G755" i="1"/>
  <c r="C755" i="1"/>
  <c r="O754" i="1"/>
  <c r="K754" i="1"/>
  <c r="G754" i="1"/>
  <c r="C754" i="1"/>
  <c r="O753" i="1"/>
  <c r="K753" i="1"/>
  <c r="G753" i="1"/>
  <c r="C753" i="1"/>
  <c r="O752" i="1"/>
  <c r="K752" i="1"/>
  <c r="G752" i="1"/>
  <c r="C752" i="1"/>
  <c r="O751" i="1"/>
  <c r="K751" i="1"/>
  <c r="G751" i="1"/>
  <c r="C751" i="1"/>
  <c r="O750" i="1"/>
  <c r="K750" i="1"/>
  <c r="G750" i="1"/>
  <c r="C750" i="1"/>
  <c r="O749" i="1"/>
  <c r="K749" i="1"/>
  <c r="G749" i="1"/>
  <c r="C749" i="1"/>
  <c r="O748" i="1"/>
  <c r="K748" i="1"/>
  <c r="G748" i="1"/>
  <c r="C748" i="1"/>
  <c r="O747" i="1"/>
  <c r="K747" i="1"/>
  <c r="G747" i="1"/>
  <c r="C747" i="1"/>
  <c r="O746" i="1"/>
  <c r="K746" i="1"/>
  <c r="G746" i="1"/>
  <c r="C746" i="1"/>
  <c r="O745" i="1"/>
  <c r="K745" i="1"/>
  <c r="G745" i="1"/>
  <c r="C745" i="1"/>
  <c r="O744" i="1"/>
  <c r="K744" i="1"/>
  <c r="G744" i="1"/>
  <c r="C744" i="1"/>
  <c r="O743" i="1"/>
  <c r="K743" i="1"/>
  <c r="G743" i="1"/>
  <c r="C743" i="1"/>
  <c r="O742" i="1"/>
  <c r="K742" i="1"/>
  <c r="G742" i="1"/>
  <c r="C742" i="1"/>
  <c r="O741" i="1"/>
  <c r="K741" i="1"/>
  <c r="G741" i="1"/>
  <c r="C741" i="1"/>
  <c r="O740" i="1"/>
  <c r="K740" i="1"/>
  <c r="G740" i="1"/>
  <c r="C740" i="1"/>
  <c r="O739" i="1"/>
  <c r="K739" i="1"/>
  <c r="G739" i="1"/>
  <c r="C739" i="1"/>
  <c r="O738" i="1"/>
  <c r="K738" i="1"/>
  <c r="G738" i="1"/>
  <c r="C738" i="1"/>
  <c r="O737" i="1"/>
  <c r="K737" i="1"/>
  <c r="G737" i="1"/>
  <c r="C737" i="1"/>
  <c r="O736" i="1"/>
  <c r="K736" i="1"/>
  <c r="G736" i="1"/>
  <c r="C736" i="1"/>
  <c r="O735" i="1"/>
  <c r="K735" i="1"/>
  <c r="G735" i="1"/>
  <c r="C735" i="1"/>
  <c r="O734" i="1"/>
  <c r="K734" i="1"/>
  <c r="G734" i="1"/>
  <c r="C734" i="1"/>
  <c r="O733" i="1"/>
  <c r="K733" i="1"/>
  <c r="G733" i="1"/>
  <c r="C733" i="1"/>
  <c r="O732" i="1"/>
  <c r="K732" i="1"/>
  <c r="G732" i="1"/>
  <c r="C732" i="1"/>
  <c r="O731" i="1"/>
  <c r="K731" i="1"/>
  <c r="G731" i="1"/>
  <c r="C731" i="1"/>
  <c r="O730" i="1"/>
  <c r="K730" i="1"/>
  <c r="G730" i="1"/>
  <c r="C730" i="1"/>
  <c r="O729" i="1"/>
  <c r="K729" i="1"/>
  <c r="G729" i="1"/>
  <c r="C729" i="1"/>
  <c r="O728" i="1"/>
  <c r="K728" i="1"/>
  <c r="G728" i="1"/>
  <c r="C728" i="1"/>
  <c r="O727" i="1"/>
  <c r="K727" i="1"/>
  <c r="G727" i="1"/>
  <c r="C727" i="1"/>
  <c r="O726" i="1"/>
  <c r="K726" i="1"/>
  <c r="G726" i="1"/>
  <c r="C726" i="1"/>
  <c r="O725" i="1"/>
  <c r="K725" i="1"/>
  <c r="G725" i="1"/>
  <c r="C725" i="1"/>
  <c r="O724" i="1"/>
  <c r="K724" i="1"/>
  <c r="G724" i="1"/>
  <c r="C724" i="1"/>
  <c r="O723" i="1"/>
  <c r="K723" i="1"/>
  <c r="G723" i="1"/>
  <c r="C723" i="1"/>
  <c r="O722" i="1"/>
  <c r="K722" i="1"/>
  <c r="G722" i="1"/>
  <c r="C722" i="1"/>
  <c r="O721" i="1"/>
  <c r="K721" i="1"/>
  <c r="G721" i="1"/>
  <c r="C721" i="1"/>
  <c r="O720" i="1"/>
  <c r="K720" i="1"/>
  <c r="G720" i="1"/>
  <c r="C720" i="1"/>
  <c r="O719" i="1"/>
  <c r="K719" i="1"/>
  <c r="G719" i="1"/>
  <c r="C719" i="1"/>
  <c r="O718" i="1"/>
  <c r="K718" i="1"/>
  <c r="G718" i="1"/>
  <c r="C718" i="1"/>
  <c r="O717" i="1"/>
  <c r="K717" i="1"/>
  <c r="G717" i="1"/>
  <c r="C717" i="1"/>
  <c r="O716" i="1"/>
  <c r="K716" i="1"/>
  <c r="G716" i="1"/>
  <c r="C716" i="1"/>
  <c r="O715" i="1"/>
  <c r="K715" i="1"/>
  <c r="G715" i="1"/>
  <c r="C715" i="1"/>
  <c r="O714" i="1"/>
  <c r="K714" i="1"/>
  <c r="G714" i="1"/>
  <c r="C714" i="1"/>
  <c r="O713" i="1"/>
  <c r="K713" i="1"/>
  <c r="G713" i="1"/>
  <c r="C713" i="1"/>
  <c r="O712" i="1"/>
  <c r="K712" i="1"/>
  <c r="G712" i="1"/>
  <c r="C712" i="1"/>
  <c r="O711" i="1"/>
  <c r="K711" i="1"/>
  <c r="G711" i="1"/>
  <c r="C711" i="1"/>
  <c r="O710" i="1"/>
  <c r="K710" i="1"/>
  <c r="G710" i="1"/>
  <c r="C710" i="1"/>
  <c r="O709" i="1"/>
  <c r="K709" i="1"/>
  <c r="G709" i="1"/>
  <c r="C709" i="1"/>
  <c r="O708" i="1"/>
  <c r="K708" i="1"/>
  <c r="G708" i="1"/>
  <c r="C708" i="1"/>
  <c r="O707" i="1"/>
  <c r="K707" i="1"/>
  <c r="G707" i="1"/>
  <c r="C707" i="1"/>
  <c r="O706" i="1"/>
  <c r="K706" i="1"/>
  <c r="G706" i="1"/>
  <c r="C706" i="1"/>
  <c r="O705" i="1"/>
  <c r="K705" i="1"/>
  <c r="G705" i="1"/>
  <c r="C705" i="1"/>
  <c r="O704" i="1"/>
  <c r="K704" i="1"/>
  <c r="G704" i="1"/>
  <c r="C704" i="1"/>
  <c r="O703" i="1"/>
  <c r="K703" i="1"/>
  <c r="G703" i="1"/>
  <c r="C703" i="1"/>
  <c r="O702" i="1"/>
  <c r="K702" i="1"/>
  <c r="G702" i="1"/>
  <c r="C702" i="1"/>
  <c r="O701" i="1"/>
  <c r="K701" i="1"/>
  <c r="G701" i="1"/>
  <c r="C701" i="1"/>
  <c r="O700" i="1"/>
  <c r="K700" i="1"/>
  <c r="G700" i="1"/>
  <c r="C700" i="1"/>
  <c r="O699" i="1"/>
  <c r="K699" i="1"/>
  <c r="G699" i="1"/>
  <c r="C699" i="1"/>
  <c r="O698" i="1"/>
  <c r="K698" i="1"/>
  <c r="G698" i="1"/>
  <c r="C698" i="1"/>
  <c r="O697" i="1"/>
  <c r="K697" i="1"/>
  <c r="G697" i="1"/>
  <c r="C697" i="1"/>
  <c r="O696" i="1"/>
  <c r="K696" i="1"/>
  <c r="G696" i="1"/>
  <c r="C696" i="1"/>
  <c r="O695" i="1"/>
  <c r="K695" i="1"/>
  <c r="G695" i="1"/>
  <c r="C695" i="1"/>
  <c r="O694" i="1"/>
  <c r="K694" i="1"/>
  <c r="G694" i="1"/>
  <c r="C694" i="1"/>
  <c r="O693" i="1"/>
  <c r="K693" i="1"/>
  <c r="G693" i="1"/>
  <c r="C693" i="1"/>
  <c r="O692" i="1"/>
  <c r="K692" i="1"/>
  <c r="G692" i="1"/>
  <c r="C692" i="1"/>
  <c r="O691" i="1"/>
  <c r="K691" i="1"/>
  <c r="G691" i="1"/>
  <c r="C691" i="1"/>
  <c r="O690" i="1"/>
  <c r="K690" i="1"/>
  <c r="G690" i="1"/>
  <c r="C690" i="1"/>
  <c r="O689" i="1"/>
  <c r="K689" i="1"/>
  <c r="G689" i="1"/>
  <c r="C689" i="1"/>
  <c r="O688" i="1"/>
  <c r="K688" i="1"/>
  <c r="G688" i="1"/>
  <c r="C688" i="1"/>
  <c r="O687" i="1"/>
  <c r="K687" i="1"/>
  <c r="G687" i="1"/>
  <c r="C687" i="1"/>
  <c r="O686" i="1"/>
  <c r="K686" i="1"/>
  <c r="G686" i="1"/>
  <c r="C686" i="1"/>
  <c r="O685" i="1"/>
  <c r="K685" i="1"/>
  <c r="G685" i="1"/>
  <c r="C685" i="1"/>
  <c r="O684" i="1"/>
  <c r="K684" i="1"/>
  <c r="G684" i="1"/>
  <c r="C684" i="1"/>
  <c r="O683" i="1"/>
  <c r="K683" i="1"/>
  <c r="G683" i="1"/>
  <c r="C683" i="1"/>
  <c r="O682" i="1"/>
  <c r="K682" i="1"/>
  <c r="G682" i="1"/>
  <c r="C682" i="1"/>
  <c r="O681" i="1"/>
  <c r="K681" i="1"/>
  <c r="G681" i="1"/>
  <c r="C681" i="1"/>
  <c r="O680" i="1"/>
  <c r="K680" i="1"/>
  <c r="G680" i="1"/>
  <c r="C680" i="1"/>
  <c r="O679" i="1"/>
  <c r="K679" i="1"/>
  <c r="G679" i="1"/>
  <c r="C679" i="1"/>
  <c r="O678" i="1"/>
  <c r="K678" i="1"/>
  <c r="G678" i="1"/>
  <c r="C678" i="1"/>
  <c r="O677" i="1"/>
  <c r="K677" i="1"/>
  <c r="G677" i="1"/>
  <c r="C677" i="1"/>
  <c r="O676" i="1"/>
  <c r="K676" i="1"/>
  <c r="G676" i="1"/>
  <c r="C676" i="1"/>
  <c r="O675" i="1"/>
  <c r="K675" i="1"/>
  <c r="G675" i="1"/>
  <c r="C675" i="1"/>
  <c r="O674" i="1"/>
  <c r="K674" i="1"/>
  <c r="G674" i="1"/>
  <c r="C674" i="1"/>
  <c r="O673" i="1"/>
  <c r="K673" i="1"/>
  <c r="G673" i="1"/>
  <c r="C673" i="1"/>
  <c r="O672" i="1"/>
  <c r="K672" i="1"/>
  <c r="G672" i="1"/>
  <c r="C672" i="1"/>
  <c r="O671" i="1"/>
  <c r="K671" i="1"/>
  <c r="G671" i="1"/>
  <c r="C671" i="1"/>
  <c r="O670" i="1"/>
  <c r="K670" i="1"/>
  <c r="G670" i="1"/>
  <c r="C670" i="1"/>
  <c r="O669" i="1"/>
  <c r="K669" i="1"/>
  <c r="G669" i="1"/>
  <c r="C669" i="1"/>
  <c r="O668" i="1"/>
  <c r="K668" i="1"/>
  <c r="G668" i="1"/>
  <c r="C668" i="1"/>
  <c r="O667" i="1"/>
  <c r="K667" i="1"/>
  <c r="G667" i="1"/>
  <c r="C667" i="1"/>
  <c r="O666" i="1"/>
  <c r="K666" i="1"/>
  <c r="G666" i="1"/>
  <c r="C666" i="1"/>
  <c r="O665" i="1"/>
  <c r="K665" i="1"/>
  <c r="G665" i="1"/>
  <c r="C665" i="1"/>
  <c r="O664" i="1"/>
  <c r="K664" i="1"/>
  <c r="G664" i="1"/>
  <c r="C664" i="1"/>
  <c r="O663" i="1"/>
  <c r="K663" i="1"/>
  <c r="G663" i="1"/>
  <c r="C663" i="1"/>
  <c r="O662" i="1"/>
  <c r="K662" i="1"/>
  <c r="G662" i="1"/>
  <c r="C662" i="1"/>
  <c r="O661" i="1"/>
  <c r="K661" i="1"/>
  <c r="G661" i="1"/>
  <c r="C661" i="1"/>
  <c r="O660" i="1"/>
  <c r="K660" i="1"/>
  <c r="G660" i="1"/>
  <c r="C660" i="1"/>
  <c r="O659" i="1"/>
  <c r="K659" i="1"/>
  <c r="G659" i="1"/>
  <c r="C659" i="1"/>
  <c r="O658" i="1"/>
  <c r="K658" i="1"/>
  <c r="G658" i="1"/>
  <c r="C658" i="1"/>
  <c r="O657" i="1"/>
  <c r="K657" i="1"/>
  <c r="G657" i="1"/>
  <c r="C657" i="1"/>
  <c r="O656" i="1"/>
  <c r="K656" i="1"/>
  <c r="G656" i="1"/>
  <c r="C656" i="1"/>
  <c r="O655" i="1"/>
  <c r="K655" i="1"/>
  <c r="G655" i="1"/>
  <c r="C655" i="1"/>
  <c r="O654" i="1"/>
  <c r="K654" i="1"/>
  <c r="G654" i="1"/>
  <c r="C654" i="1"/>
  <c r="O653" i="1"/>
  <c r="K653" i="1"/>
  <c r="G653" i="1"/>
  <c r="C653" i="1"/>
  <c r="O652" i="1"/>
  <c r="K652" i="1"/>
  <c r="G652" i="1"/>
  <c r="C652" i="1"/>
  <c r="O651" i="1"/>
  <c r="K651" i="1"/>
  <c r="G651" i="1"/>
  <c r="C651" i="1"/>
  <c r="O650" i="1"/>
  <c r="K650" i="1"/>
  <c r="G650" i="1"/>
  <c r="C650" i="1"/>
  <c r="O649" i="1"/>
  <c r="K649" i="1"/>
  <c r="G649" i="1"/>
  <c r="C649" i="1"/>
  <c r="O648" i="1"/>
  <c r="K648" i="1"/>
  <c r="G648" i="1"/>
  <c r="C648" i="1"/>
  <c r="O647" i="1"/>
  <c r="K647" i="1"/>
  <c r="G647" i="1"/>
  <c r="C647" i="1"/>
  <c r="O646" i="1"/>
  <c r="K646" i="1"/>
  <c r="G646" i="1"/>
  <c r="C646" i="1"/>
  <c r="O645" i="1"/>
  <c r="K645" i="1"/>
  <c r="G645" i="1"/>
  <c r="C645" i="1"/>
  <c r="O644" i="1"/>
  <c r="K644" i="1"/>
  <c r="G644" i="1"/>
  <c r="C644" i="1"/>
  <c r="O643" i="1"/>
  <c r="K643" i="1"/>
  <c r="G643" i="1"/>
  <c r="C643" i="1"/>
  <c r="O642" i="1"/>
  <c r="K642" i="1"/>
  <c r="G642" i="1"/>
  <c r="C642" i="1"/>
  <c r="O641" i="1"/>
  <c r="K641" i="1"/>
  <c r="G641" i="1"/>
  <c r="C641" i="1"/>
  <c r="O640" i="1"/>
  <c r="K640" i="1"/>
  <c r="G640" i="1"/>
  <c r="C640" i="1"/>
  <c r="O639" i="1"/>
  <c r="K639" i="1"/>
  <c r="G639" i="1"/>
  <c r="C639" i="1"/>
  <c r="O638" i="1"/>
  <c r="K638" i="1"/>
  <c r="G638" i="1"/>
  <c r="C638" i="1"/>
  <c r="O637" i="1"/>
  <c r="K637" i="1"/>
  <c r="G637" i="1"/>
  <c r="C637" i="1"/>
  <c r="O636" i="1"/>
  <c r="K636" i="1"/>
  <c r="G636" i="1"/>
  <c r="C636" i="1"/>
  <c r="O635" i="1"/>
  <c r="K635" i="1"/>
  <c r="G635" i="1"/>
  <c r="C635" i="1"/>
  <c r="O634" i="1"/>
  <c r="K634" i="1"/>
  <c r="G634" i="1"/>
  <c r="C634" i="1"/>
  <c r="O633" i="1"/>
  <c r="K633" i="1"/>
  <c r="G633" i="1"/>
  <c r="C633" i="1"/>
  <c r="O632" i="1"/>
  <c r="K632" i="1"/>
  <c r="G632" i="1"/>
  <c r="C632" i="1"/>
  <c r="O631" i="1"/>
  <c r="K631" i="1"/>
  <c r="G631" i="1"/>
  <c r="C631" i="1"/>
  <c r="O630" i="1"/>
  <c r="K630" i="1"/>
  <c r="G630" i="1"/>
  <c r="C630" i="1"/>
  <c r="O629" i="1"/>
  <c r="K629" i="1"/>
  <c r="G629" i="1"/>
  <c r="C629" i="1"/>
  <c r="O628" i="1"/>
  <c r="K628" i="1"/>
  <c r="G628" i="1"/>
  <c r="C628" i="1"/>
  <c r="O627" i="1"/>
  <c r="K627" i="1"/>
  <c r="G627" i="1"/>
  <c r="C627" i="1"/>
  <c r="O626" i="1"/>
  <c r="K626" i="1"/>
  <c r="G626" i="1"/>
  <c r="C626" i="1"/>
  <c r="O625" i="1"/>
  <c r="K625" i="1"/>
  <c r="G625" i="1"/>
  <c r="C625" i="1"/>
  <c r="O624" i="1"/>
  <c r="K624" i="1"/>
  <c r="G624" i="1"/>
  <c r="C624" i="1"/>
  <c r="O623" i="1"/>
  <c r="K623" i="1"/>
  <c r="G623" i="1"/>
  <c r="C623" i="1"/>
  <c r="O622" i="1"/>
  <c r="K622" i="1"/>
  <c r="G622" i="1"/>
  <c r="C622" i="1"/>
  <c r="O621" i="1"/>
  <c r="K621" i="1"/>
  <c r="G621" i="1"/>
  <c r="C621" i="1"/>
  <c r="O620" i="1"/>
  <c r="K620" i="1"/>
  <c r="G620" i="1"/>
  <c r="C620" i="1"/>
  <c r="O619" i="1"/>
  <c r="K619" i="1"/>
  <c r="G619" i="1"/>
  <c r="C619" i="1"/>
  <c r="O618" i="1"/>
  <c r="K618" i="1"/>
  <c r="G618" i="1"/>
  <c r="C618" i="1"/>
  <c r="O617" i="1"/>
  <c r="K617" i="1"/>
  <c r="G617" i="1"/>
  <c r="C617" i="1"/>
  <c r="O616" i="1"/>
  <c r="K616" i="1"/>
  <c r="G616" i="1"/>
  <c r="C616" i="1"/>
  <c r="O615" i="1"/>
  <c r="K615" i="1"/>
  <c r="G615" i="1"/>
  <c r="C615" i="1"/>
  <c r="O614" i="1"/>
  <c r="K614" i="1"/>
  <c r="G614" i="1"/>
  <c r="C614" i="1"/>
  <c r="O613" i="1"/>
  <c r="K613" i="1"/>
  <c r="G613" i="1"/>
  <c r="C613" i="1"/>
  <c r="O612" i="1"/>
  <c r="K612" i="1"/>
  <c r="G612" i="1"/>
  <c r="C612" i="1"/>
  <c r="O611" i="1"/>
  <c r="K611" i="1"/>
  <c r="G611" i="1"/>
  <c r="C611" i="1"/>
  <c r="O610" i="1"/>
  <c r="K610" i="1"/>
  <c r="G610" i="1"/>
  <c r="C610" i="1"/>
  <c r="O609" i="1"/>
  <c r="K609" i="1"/>
  <c r="G609" i="1"/>
  <c r="C609" i="1"/>
  <c r="O608" i="1"/>
  <c r="K608" i="1"/>
  <c r="G608" i="1"/>
  <c r="C608" i="1"/>
  <c r="O607" i="1"/>
  <c r="K607" i="1"/>
  <c r="G607" i="1"/>
  <c r="C607" i="1"/>
  <c r="O606" i="1"/>
  <c r="K606" i="1"/>
  <c r="G606" i="1"/>
  <c r="C606" i="1"/>
  <c r="O605" i="1"/>
  <c r="K605" i="1"/>
  <c r="G605" i="1"/>
  <c r="C605" i="1"/>
  <c r="O604" i="1"/>
  <c r="K604" i="1"/>
  <c r="G604" i="1"/>
  <c r="C604" i="1"/>
  <c r="O603" i="1"/>
  <c r="K603" i="1"/>
  <c r="G603" i="1"/>
  <c r="C603" i="1"/>
  <c r="O602" i="1"/>
  <c r="K602" i="1"/>
  <c r="G602" i="1"/>
  <c r="C602" i="1"/>
  <c r="O601" i="1"/>
  <c r="K601" i="1"/>
  <c r="G601" i="1"/>
  <c r="C601" i="1"/>
  <c r="O600" i="1"/>
  <c r="K600" i="1"/>
  <c r="G600" i="1"/>
  <c r="C600" i="1"/>
  <c r="O599" i="1"/>
  <c r="K599" i="1"/>
  <c r="G599" i="1"/>
  <c r="C599" i="1"/>
  <c r="O598" i="1"/>
  <c r="K598" i="1"/>
  <c r="G598" i="1"/>
  <c r="C598" i="1"/>
  <c r="O597" i="1"/>
  <c r="K597" i="1"/>
  <c r="G597" i="1"/>
  <c r="C597" i="1"/>
  <c r="O596" i="1"/>
  <c r="K596" i="1"/>
  <c r="G596" i="1"/>
  <c r="C596" i="1"/>
  <c r="O595" i="1"/>
  <c r="K595" i="1"/>
  <c r="G595" i="1"/>
  <c r="C595" i="1"/>
  <c r="O594" i="1"/>
  <c r="K594" i="1"/>
  <c r="G594" i="1"/>
  <c r="C594" i="1"/>
  <c r="O593" i="1"/>
  <c r="K593" i="1"/>
  <c r="G593" i="1"/>
  <c r="C593" i="1"/>
  <c r="O592" i="1"/>
  <c r="K592" i="1"/>
  <c r="G592" i="1"/>
  <c r="C592" i="1"/>
  <c r="O591" i="1"/>
  <c r="K591" i="1"/>
  <c r="G591" i="1"/>
  <c r="C591" i="1"/>
  <c r="O590" i="1"/>
  <c r="K590" i="1"/>
  <c r="G590" i="1"/>
  <c r="C590" i="1"/>
  <c r="O589" i="1"/>
  <c r="K589" i="1"/>
  <c r="G589" i="1"/>
  <c r="C589" i="1"/>
  <c r="O588" i="1"/>
  <c r="K588" i="1"/>
  <c r="G588" i="1"/>
  <c r="C588" i="1"/>
  <c r="O587" i="1"/>
  <c r="K587" i="1"/>
  <c r="G587" i="1"/>
  <c r="C587" i="1"/>
  <c r="O586" i="1"/>
  <c r="K586" i="1"/>
  <c r="G586" i="1"/>
  <c r="C586" i="1"/>
  <c r="O585" i="1"/>
  <c r="K585" i="1"/>
  <c r="G585" i="1"/>
  <c r="C585" i="1"/>
  <c r="O584" i="1"/>
  <c r="K584" i="1"/>
  <c r="G584" i="1"/>
  <c r="C584" i="1"/>
  <c r="O583" i="1"/>
  <c r="K583" i="1"/>
  <c r="G583" i="1"/>
  <c r="C583" i="1"/>
  <c r="O582" i="1"/>
  <c r="K582" i="1"/>
  <c r="G582" i="1"/>
  <c r="C582" i="1"/>
  <c r="O581" i="1"/>
  <c r="K581" i="1"/>
  <c r="G581" i="1"/>
  <c r="C581" i="1"/>
  <c r="O580" i="1"/>
  <c r="K580" i="1"/>
  <c r="G580" i="1"/>
  <c r="C580" i="1"/>
  <c r="O579" i="1"/>
  <c r="K579" i="1"/>
  <c r="G579" i="1"/>
  <c r="C579" i="1"/>
  <c r="O578" i="1"/>
  <c r="K578" i="1"/>
  <c r="G578" i="1"/>
  <c r="C578" i="1"/>
  <c r="O577" i="1"/>
  <c r="K577" i="1"/>
  <c r="G577" i="1"/>
  <c r="C577" i="1"/>
  <c r="O576" i="1"/>
  <c r="K576" i="1"/>
  <c r="G576" i="1"/>
  <c r="C576" i="1"/>
  <c r="O575" i="1"/>
  <c r="K575" i="1"/>
  <c r="G575" i="1"/>
  <c r="C575" i="1"/>
  <c r="O574" i="1"/>
  <c r="K574" i="1"/>
  <c r="G574" i="1"/>
  <c r="C574" i="1"/>
  <c r="O573" i="1"/>
  <c r="K573" i="1"/>
  <c r="G573" i="1"/>
  <c r="C573" i="1"/>
  <c r="O572" i="1"/>
  <c r="K572" i="1"/>
  <c r="G572" i="1"/>
  <c r="C572" i="1"/>
  <c r="O571" i="1"/>
  <c r="K571" i="1"/>
  <c r="G571" i="1"/>
  <c r="C571" i="1"/>
  <c r="O570" i="1"/>
  <c r="K570" i="1"/>
  <c r="G570" i="1"/>
  <c r="C570" i="1"/>
  <c r="O569" i="1"/>
  <c r="K569" i="1"/>
  <c r="G569" i="1"/>
  <c r="C569" i="1"/>
  <c r="O568" i="1"/>
  <c r="K568" i="1"/>
  <c r="G568" i="1"/>
  <c r="C568" i="1"/>
  <c r="O567" i="1"/>
  <c r="K567" i="1"/>
  <c r="G567" i="1"/>
  <c r="C567" i="1"/>
  <c r="O566" i="1"/>
  <c r="K566" i="1"/>
  <c r="G566" i="1"/>
  <c r="C566" i="1"/>
  <c r="O565" i="1"/>
  <c r="K565" i="1"/>
  <c r="G565" i="1"/>
  <c r="C565" i="1"/>
  <c r="O564" i="1"/>
  <c r="K564" i="1"/>
  <c r="G564" i="1"/>
  <c r="C564" i="1"/>
  <c r="O563" i="1"/>
  <c r="K563" i="1"/>
  <c r="G563" i="1"/>
  <c r="C563" i="1"/>
  <c r="O562" i="1"/>
  <c r="K562" i="1"/>
  <c r="G562" i="1"/>
  <c r="C562" i="1"/>
  <c r="O561" i="1"/>
  <c r="K561" i="1"/>
  <c r="G561" i="1"/>
  <c r="C561" i="1"/>
  <c r="O560" i="1"/>
  <c r="K560" i="1"/>
  <c r="G560" i="1"/>
  <c r="C560" i="1"/>
  <c r="O559" i="1"/>
  <c r="K559" i="1"/>
  <c r="G559" i="1"/>
  <c r="C559" i="1"/>
  <c r="O558" i="1"/>
  <c r="K558" i="1"/>
  <c r="G558" i="1"/>
  <c r="C558" i="1"/>
  <c r="O557" i="1"/>
  <c r="K557" i="1"/>
  <c r="G557" i="1"/>
  <c r="C557" i="1"/>
  <c r="O556" i="1"/>
  <c r="K556" i="1"/>
  <c r="G556" i="1"/>
  <c r="C556" i="1"/>
  <c r="O555" i="1"/>
  <c r="K555" i="1"/>
  <c r="G555" i="1"/>
  <c r="C555" i="1"/>
  <c r="O554" i="1"/>
  <c r="K554" i="1"/>
  <c r="G554" i="1"/>
  <c r="C554" i="1"/>
  <c r="O553" i="1"/>
  <c r="K553" i="1"/>
  <c r="G553" i="1"/>
  <c r="C553" i="1"/>
  <c r="O552" i="1"/>
  <c r="K552" i="1"/>
  <c r="G552" i="1"/>
  <c r="C552" i="1"/>
  <c r="O551" i="1"/>
  <c r="K551" i="1"/>
  <c r="G551" i="1"/>
  <c r="C551" i="1"/>
  <c r="O550" i="1"/>
  <c r="K550" i="1"/>
  <c r="G550" i="1"/>
  <c r="C550" i="1"/>
  <c r="O549" i="1"/>
  <c r="K549" i="1"/>
  <c r="G549" i="1"/>
  <c r="C549" i="1"/>
  <c r="O548" i="1"/>
  <c r="K548" i="1"/>
  <c r="G548" i="1"/>
  <c r="C548" i="1"/>
  <c r="O547" i="1"/>
  <c r="K547" i="1"/>
  <c r="G547" i="1"/>
  <c r="C547" i="1"/>
  <c r="O546" i="1"/>
  <c r="K546" i="1"/>
  <c r="G546" i="1"/>
  <c r="C546" i="1"/>
  <c r="O545" i="1"/>
  <c r="K545" i="1"/>
  <c r="G545" i="1"/>
  <c r="C545" i="1"/>
  <c r="O544" i="1"/>
  <c r="K544" i="1"/>
  <c r="G544" i="1"/>
  <c r="C544" i="1"/>
  <c r="O543" i="1"/>
  <c r="K543" i="1"/>
  <c r="G543" i="1"/>
  <c r="C543" i="1"/>
  <c r="O542" i="1"/>
  <c r="K542" i="1"/>
  <c r="G542" i="1"/>
  <c r="C542" i="1"/>
  <c r="O541" i="1"/>
  <c r="K541" i="1"/>
  <c r="G541" i="1"/>
  <c r="C541" i="1"/>
  <c r="O540" i="1"/>
  <c r="K540" i="1"/>
  <c r="G540" i="1"/>
  <c r="C540" i="1"/>
  <c r="O539" i="1"/>
  <c r="K539" i="1"/>
  <c r="G539" i="1"/>
  <c r="C539" i="1"/>
  <c r="O538" i="1"/>
  <c r="K538" i="1"/>
  <c r="G538" i="1"/>
  <c r="C538" i="1"/>
  <c r="O537" i="1"/>
  <c r="K537" i="1"/>
  <c r="G537" i="1"/>
  <c r="C537" i="1"/>
  <c r="O536" i="1"/>
  <c r="K536" i="1"/>
  <c r="G536" i="1"/>
  <c r="C536" i="1"/>
  <c r="O535" i="1"/>
  <c r="K535" i="1"/>
  <c r="G535" i="1"/>
  <c r="C535" i="1"/>
  <c r="O534" i="1"/>
  <c r="K534" i="1"/>
  <c r="G534" i="1"/>
  <c r="C534" i="1"/>
  <c r="O533" i="1"/>
  <c r="K533" i="1"/>
  <c r="G533" i="1"/>
  <c r="C533" i="1"/>
  <c r="O532" i="1"/>
  <c r="K532" i="1"/>
  <c r="G532" i="1"/>
  <c r="C532" i="1"/>
  <c r="O531" i="1"/>
  <c r="K531" i="1"/>
  <c r="G531" i="1"/>
  <c r="C531" i="1"/>
  <c r="O530" i="1"/>
  <c r="K530" i="1"/>
  <c r="G530" i="1"/>
  <c r="C530" i="1"/>
  <c r="O529" i="1"/>
  <c r="K529" i="1"/>
  <c r="G529" i="1"/>
  <c r="C529" i="1"/>
  <c r="O528" i="1"/>
  <c r="K528" i="1"/>
  <c r="G528" i="1"/>
  <c r="C528" i="1"/>
  <c r="O527" i="1"/>
  <c r="K527" i="1"/>
  <c r="G527" i="1"/>
  <c r="C527" i="1"/>
  <c r="O526" i="1"/>
  <c r="K526" i="1"/>
  <c r="G526" i="1"/>
  <c r="C526" i="1"/>
  <c r="O525" i="1"/>
  <c r="K525" i="1"/>
  <c r="G525" i="1"/>
  <c r="C525" i="1"/>
  <c r="O524" i="1"/>
  <c r="K524" i="1"/>
  <c r="G524" i="1"/>
  <c r="C524" i="1"/>
  <c r="O523" i="1"/>
  <c r="K523" i="1"/>
  <c r="G523" i="1"/>
  <c r="C523" i="1"/>
  <c r="O522" i="1"/>
  <c r="K522" i="1"/>
  <c r="G522" i="1"/>
  <c r="C522" i="1"/>
  <c r="O521" i="1"/>
  <c r="K521" i="1"/>
  <c r="G521" i="1"/>
  <c r="C521" i="1"/>
  <c r="O520" i="1"/>
  <c r="K520" i="1"/>
  <c r="G520" i="1"/>
  <c r="C520" i="1"/>
  <c r="O519" i="1"/>
  <c r="K519" i="1"/>
  <c r="G519" i="1"/>
  <c r="C519" i="1"/>
  <c r="O518" i="1"/>
  <c r="K518" i="1"/>
  <c r="G518" i="1"/>
  <c r="C518" i="1"/>
  <c r="O517" i="1"/>
  <c r="K517" i="1"/>
  <c r="G517" i="1"/>
  <c r="C517" i="1"/>
  <c r="O516" i="1"/>
  <c r="K516" i="1"/>
  <c r="G516" i="1"/>
  <c r="C516" i="1"/>
  <c r="O515" i="1"/>
  <c r="K515" i="1"/>
  <c r="G515" i="1"/>
  <c r="C515" i="1"/>
  <c r="O514" i="1"/>
  <c r="K514" i="1"/>
  <c r="G514" i="1"/>
  <c r="C514" i="1"/>
  <c r="O513" i="1"/>
  <c r="K513" i="1"/>
  <c r="G513" i="1"/>
  <c r="C513" i="1"/>
  <c r="O512" i="1"/>
  <c r="K512" i="1"/>
  <c r="G512" i="1"/>
  <c r="C512" i="1"/>
  <c r="O511" i="1"/>
  <c r="K511" i="1"/>
  <c r="G511" i="1"/>
  <c r="C511" i="1"/>
  <c r="O510" i="1"/>
  <c r="K510" i="1"/>
  <c r="G510" i="1"/>
  <c r="C510" i="1"/>
  <c r="O509" i="1"/>
  <c r="K509" i="1"/>
  <c r="G509" i="1"/>
  <c r="C509" i="1"/>
  <c r="O508" i="1"/>
  <c r="K508" i="1"/>
  <c r="G508" i="1"/>
  <c r="C508" i="1"/>
  <c r="O507" i="1"/>
  <c r="K507" i="1"/>
  <c r="G507" i="1"/>
  <c r="C507" i="1"/>
  <c r="O506" i="1"/>
  <c r="K506" i="1"/>
  <c r="G506" i="1"/>
  <c r="C506" i="1"/>
  <c r="O505" i="1"/>
  <c r="K505" i="1"/>
  <c r="G505" i="1"/>
  <c r="C505" i="1"/>
  <c r="O504" i="1"/>
  <c r="K504" i="1"/>
  <c r="G504" i="1"/>
  <c r="C504" i="1"/>
  <c r="O503" i="1"/>
  <c r="K503" i="1"/>
  <c r="G503" i="1"/>
  <c r="C503" i="1"/>
  <c r="O502" i="1"/>
  <c r="K502" i="1"/>
  <c r="G502" i="1"/>
  <c r="C502" i="1"/>
  <c r="O501" i="1"/>
  <c r="K501" i="1"/>
  <c r="G501" i="1"/>
  <c r="C501" i="1"/>
  <c r="O500" i="1"/>
  <c r="K500" i="1"/>
  <c r="G500" i="1"/>
  <c r="C500" i="1"/>
  <c r="O499" i="1"/>
  <c r="K499" i="1"/>
  <c r="G499" i="1"/>
  <c r="C499" i="1"/>
  <c r="O498" i="1"/>
  <c r="K498" i="1"/>
  <c r="G498" i="1"/>
  <c r="C498" i="1"/>
  <c r="O497" i="1"/>
  <c r="K497" i="1"/>
  <c r="G497" i="1"/>
  <c r="C497" i="1"/>
  <c r="O496" i="1"/>
  <c r="K496" i="1"/>
  <c r="G496" i="1"/>
  <c r="C496" i="1"/>
  <c r="O495" i="1"/>
  <c r="K495" i="1"/>
  <c r="G495" i="1"/>
  <c r="C495" i="1"/>
  <c r="O494" i="1"/>
  <c r="K494" i="1"/>
  <c r="G494" i="1"/>
  <c r="C494" i="1"/>
  <c r="O493" i="1"/>
  <c r="K493" i="1"/>
  <c r="G493" i="1"/>
  <c r="C493" i="1"/>
  <c r="O492" i="1"/>
  <c r="K492" i="1"/>
  <c r="G492" i="1"/>
  <c r="C492" i="1"/>
  <c r="O491" i="1"/>
  <c r="K491" i="1"/>
  <c r="G491" i="1"/>
  <c r="C491" i="1"/>
  <c r="O490" i="1"/>
  <c r="K490" i="1"/>
  <c r="G490" i="1"/>
  <c r="C490" i="1"/>
  <c r="O489" i="1"/>
  <c r="K489" i="1"/>
  <c r="G489" i="1"/>
  <c r="C489" i="1"/>
  <c r="O488" i="1"/>
  <c r="K488" i="1"/>
  <c r="G488" i="1"/>
  <c r="C488" i="1"/>
  <c r="O487" i="1"/>
  <c r="K487" i="1"/>
  <c r="G487" i="1"/>
  <c r="C487" i="1"/>
  <c r="O486" i="1"/>
  <c r="K486" i="1"/>
  <c r="G486" i="1"/>
  <c r="C486" i="1"/>
  <c r="O485" i="1"/>
  <c r="K485" i="1"/>
  <c r="G485" i="1"/>
  <c r="C485" i="1"/>
  <c r="O484" i="1"/>
  <c r="K484" i="1"/>
  <c r="G484" i="1"/>
  <c r="C484" i="1"/>
  <c r="O483" i="1"/>
  <c r="K483" i="1"/>
  <c r="G483" i="1"/>
  <c r="C483" i="1"/>
  <c r="O482" i="1"/>
  <c r="K482" i="1"/>
  <c r="G482" i="1"/>
  <c r="C482" i="1"/>
  <c r="O481" i="1"/>
  <c r="K481" i="1"/>
  <c r="G481" i="1"/>
  <c r="C481" i="1"/>
  <c r="O480" i="1"/>
  <c r="K480" i="1"/>
  <c r="G480" i="1"/>
  <c r="C480" i="1"/>
  <c r="O479" i="1"/>
  <c r="K479" i="1"/>
  <c r="G479" i="1"/>
  <c r="C479" i="1"/>
  <c r="O478" i="1"/>
  <c r="K478" i="1"/>
  <c r="G478" i="1"/>
  <c r="C478" i="1"/>
  <c r="O477" i="1"/>
  <c r="K477" i="1"/>
  <c r="G477" i="1"/>
  <c r="C477" i="1"/>
  <c r="O476" i="1"/>
  <c r="K476" i="1"/>
  <c r="G476" i="1"/>
  <c r="C476" i="1"/>
  <c r="O475" i="1"/>
  <c r="K475" i="1"/>
  <c r="G475" i="1"/>
  <c r="C475" i="1"/>
  <c r="O474" i="1"/>
  <c r="K474" i="1"/>
  <c r="G474" i="1"/>
  <c r="C474" i="1"/>
  <c r="O473" i="1"/>
  <c r="K473" i="1"/>
  <c r="G473" i="1"/>
  <c r="C473" i="1"/>
  <c r="O472" i="1"/>
  <c r="K472" i="1"/>
  <c r="G472" i="1"/>
  <c r="C472" i="1"/>
  <c r="O471" i="1"/>
  <c r="K471" i="1"/>
  <c r="G471" i="1"/>
  <c r="C471" i="1"/>
  <c r="O470" i="1"/>
  <c r="K470" i="1"/>
  <c r="G470" i="1"/>
  <c r="C470" i="1"/>
  <c r="O469" i="1"/>
  <c r="K469" i="1"/>
  <c r="G469" i="1"/>
  <c r="C469" i="1"/>
  <c r="O468" i="1"/>
  <c r="K468" i="1"/>
  <c r="G468" i="1"/>
  <c r="C468" i="1"/>
  <c r="O467" i="1"/>
  <c r="K467" i="1"/>
  <c r="G467" i="1"/>
  <c r="C467" i="1"/>
  <c r="O466" i="1"/>
  <c r="K466" i="1"/>
  <c r="G466" i="1"/>
  <c r="C466" i="1"/>
  <c r="O465" i="1"/>
  <c r="K465" i="1"/>
  <c r="G465" i="1"/>
  <c r="C465" i="1"/>
  <c r="O464" i="1"/>
  <c r="K464" i="1"/>
  <c r="G464" i="1"/>
  <c r="C464" i="1"/>
  <c r="O463" i="1"/>
  <c r="K463" i="1"/>
  <c r="G463" i="1"/>
  <c r="C463" i="1"/>
  <c r="O462" i="1"/>
  <c r="K462" i="1"/>
  <c r="G462" i="1"/>
  <c r="C462" i="1"/>
  <c r="O461" i="1"/>
  <c r="K461" i="1"/>
  <c r="G461" i="1"/>
  <c r="C461" i="1"/>
  <c r="O460" i="1"/>
  <c r="K460" i="1"/>
  <c r="G460" i="1"/>
  <c r="C460" i="1"/>
  <c r="O459" i="1"/>
  <c r="K459" i="1"/>
  <c r="G459" i="1"/>
  <c r="C459" i="1"/>
  <c r="O458" i="1"/>
  <c r="K458" i="1"/>
  <c r="G458" i="1"/>
  <c r="C458" i="1"/>
  <c r="O457" i="1"/>
  <c r="K457" i="1"/>
  <c r="G457" i="1"/>
  <c r="C457" i="1"/>
  <c r="O456" i="1"/>
  <c r="K456" i="1"/>
  <c r="G456" i="1"/>
  <c r="C456" i="1"/>
  <c r="O455" i="1"/>
  <c r="K455" i="1"/>
  <c r="G455" i="1"/>
  <c r="C455" i="1"/>
  <c r="O454" i="1"/>
  <c r="K454" i="1"/>
  <c r="G454" i="1"/>
  <c r="C454" i="1"/>
  <c r="O453" i="1"/>
  <c r="K453" i="1"/>
  <c r="G453" i="1"/>
  <c r="C453" i="1"/>
  <c r="O452" i="1"/>
  <c r="K452" i="1"/>
  <c r="G452" i="1"/>
  <c r="C452" i="1"/>
  <c r="O451" i="1"/>
  <c r="K451" i="1"/>
  <c r="G451" i="1"/>
  <c r="C451" i="1"/>
  <c r="O450" i="1"/>
  <c r="K450" i="1"/>
  <c r="G450" i="1"/>
  <c r="C450" i="1"/>
  <c r="O449" i="1"/>
  <c r="K449" i="1"/>
  <c r="G449" i="1"/>
  <c r="C449" i="1"/>
  <c r="O448" i="1"/>
  <c r="K448" i="1"/>
  <c r="G448" i="1"/>
  <c r="C448" i="1"/>
  <c r="O447" i="1"/>
  <c r="K447" i="1"/>
  <c r="G447" i="1"/>
  <c r="C447" i="1"/>
  <c r="O446" i="1"/>
  <c r="K446" i="1"/>
  <c r="G446" i="1"/>
  <c r="C446" i="1"/>
  <c r="O445" i="1"/>
  <c r="K445" i="1"/>
  <c r="G445" i="1"/>
  <c r="C445" i="1"/>
  <c r="O444" i="1"/>
  <c r="K444" i="1"/>
  <c r="G444" i="1"/>
  <c r="C444" i="1"/>
  <c r="O443" i="1"/>
  <c r="K443" i="1"/>
  <c r="G443" i="1"/>
  <c r="C443" i="1"/>
  <c r="O442" i="1"/>
  <c r="K442" i="1"/>
  <c r="G442" i="1"/>
  <c r="C442" i="1"/>
  <c r="O441" i="1"/>
  <c r="K441" i="1"/>
  <c r="G441" i="1"/>
  <c r="C441" i="1"/>
  <c r="O440" i="1"/>
  <c r="K440" i="1"/>
  <c r="G440" i="1"/>
  <c r="C440" i="1"/>
  <c r="O439" i="1"/>
  <c r="K439" i="1"/>
  <c r="G439" i="1"/>
  <c r="C439" i="1"/>
  <c r="O438" i="1"/>
  <c r="K438" i="1"/>
  <c r="G438" i="1"/>
  <c r="C438" i="1"/>
  <c r="O437" i="1"/>
  <c r="K437" i="1"/>
  <c r="G437" i="1"/>
  <c r="C437" i="1"/>
  <c r="O436" i="1"/>
  <c r="K436" i="1"/>
  <c r="G436" i="1"/>
  <c r="C436" i="1"/>
  <c r="O435" i="1"/>
  <c r="K435" i="1"/>
  <c r="G435" i="1"/>
  <c r="C435" i="1"/>
  <c r="O434" i="1"/>
  <c r="K434" i="1"/>
  <c r="G434" i="1"/>
  <c r="C434" i="1"/>
  <c r="O433" i="1"/>
  <c r="K433" i="1"/>
  <c r="G433" i="1"/>
  <c r="C433" i="1"/>
  <c r="O432" i="1"/>
  <c r="K432" i="1"/>
  <c r="G432" i="1"/>
  <c r="C432" i="1"/>
  <c r="O431" i="1"/>
  <c r="K431" i="1"/>
  <c r="G431" i="1"/>
  <c r="C431" i="1"/>
  <c r="O430" i="1"/>
  <c r="K430" i="1"/>
  <c r="G430" i="1"/>
  <c r="C430" i="1"/>
  <c r="O429" i="1"/>
  <c r="K429" i="1"/>
  <c r="G429" i="1"/>
  <c r="C429" i="1"/>
  <c r="O428" i="1"/>
  <c r="K428" i="1"/>
  <c r="G428" i="1"/>
  <c r="C428" i="1"/>
  <c r="O427" i="1"/>
  <c r="K427" i="1"/>
  <c r="G427" i="1"/>
  <c r="C427" i="1"/>
  <c r="O426" i="1"/>
  <c r="K426" i="1"/>
  <c r="G426" i="1"/>
  <c r="C426" i="1"/>
  <c r="O425" i="1"/>
  <c r="K425" i="1"/>
  <c r="G425" i="1"/>
  <c r="C425" i="1"/>
  <c r="O424" i="1"/>
  <c r="K424" i="1"/>
  <c r="G424" i="1"/>
  <c r="C424" i="1"/>
  <c r="O423" i="1"/>
  <c r="K423" i="1"/>
  <c r="G423" i="1"/>
  <c r="C423" i="1"/>
  <c r="O422" i="1"/>
  <c r="K422" i="1"/>
  <c r="G422" i="1"/>
  <c r="C422" i="1"/>
  <c r="O421" i="1"/>
  <c r="K421" i="1"/>
  <c r="G421" i="1"/>
  <c r="C421" i="1"/>
  <c r="O420" i="1"/>
  <c r="K420" i="1"/>
  <c r="G420" i="1"/>
  <c r="C420" i="1"/>
  <c r="O419" i="1"/>
  <c r="K419" i="1"/>
  <c r="G419" i="1"/>
  <c r="C419" i="1"/>
  <c r="O418" i="1"/>
  <c r="K418" i="1"/>
  <c r="G418" i="1"/>
  <c r="C418" i="1"/>
  <c r="O417" i="1"/>
  <c r="K417" i="1"/>
  <c r="G417" i="1"/>
  <c r="C417" i="1"/>
  <c r="O416" i="1"/>
  <c r="K416" i="1"/>
  <c r="G416" i="1"/>
  <c r="C416" i="1"/>
  <c r="O415" i="1"/>
  <c r="K415" i="1"/>
  <c r="G415" i="1"/>
  <c r="C415" i="1"/>
  <c r="O414" i="1"/>
  <c r="K414" i="1"/>
  <c r="G414" i="1"/>
  <c r="C414" i="1"/>
  <c r="O413" i="1"/>
  <c r="K413" i="1"/>
  <c r="G413" i="1"/>
  <c r="C413" i="1"/>
  <c r="O412" i="1"/>
  <c r="K412" i="1"/>
  <c r="G412" i="1"/>
  <c r="C412" i="1"/>
  <c r="O411" i="1"/>
  <c r="K411" i="1"/>
  <c r="G411" i="1"/>
  <c r="C411" i="1"/>
  <c r="O410" i="1"/>
  <c r="K410" i="1"/>
  <c r="G410" i="1"/>
  <c r="C410" i="1"/>
  <c r="O409" i="1"/>
  <c r="K409" i="1"/>
  <c r="G409" i="1"/>
  <c r="C409" i="1"/>
  <c r="O408" i="1"/>
  <c r="K408" i="1"/>
  <c r="G408" i="1"/>
  <c r="C408" i="1"/>
  <c r="O407" i="1"/>
  <c r="K407" i="1"/>
  <c r="G407" i="1"/>
  <c r="C407" i="1"/>
  <c r="O406" i="1"/>
  <c r="K406" i="1"/>
  <c r="G406" i="1"/>
  <c r="C406" i="1"/>
  <c r="O405" i="1"/>
  <c r="K405" i="1"/>
  <c r="G405" i="1"/>
  <c r="C405" i="1"/>
  <c r="O404" i="1"/>
  <c r="K404" i="1"/>
  <c r="G404" i="1"/>
  <c r="C404" i="1"/>
  <c r="O403" i="1"/>
  <c r="K403" i="1"/>
  <c r="G403" i="1"/>
  <c r="C403" i="1"/>
  <c r="O402" i="1"/>
  <c r="K402" i="1"/>
  <c r="G402" i="1"/>
  <c r="C402" i="1"/>
  <c r="O401" i="1"/>
  <c r="K401" i="1"/>
  <c r="G401" i="1"/>
  <c r="C401" i="1"/>
  <c r="O400" i="1"/>
  <c r="K400" i="1"/>
  <c r="G400" i="1"/>
  <c r="C400" i="1"/>
  <c r="O399" i="1"/>
  <c r="K399" i="1"/>
  <c r="G399" i="1"/>
  <c r="C399" i="1"/>
  <c r="O398" i="1"/>
  <c r="K398" i="1"/>
  <c r="G398" i="1"/>
  <c r="C398" i="1"/>
  <c r="O397" i="1"/>
  <c r="K397" i="1"/>
  <c r="G397" i="1"/>
  <c r="C397" i="1"/>
  <c r="O396" i="1"/>
  <c r="K396" i="1"/>
  <c r="G396" i="1"/>
  <c r="C396" i="1"/>
  <c r="O395" i="1"/>
  <c r="K395" i="1"/>
  <c r="G395" i="1"/>
  <c r="C395" i="1"/>
  <c r="O394" i="1"/>
  <c r="K394" i="1"/>
  <c r="G394" i="1"/>
  <c r="C394" i="1"/>
  <c r="O393" i="1"/>
  <c r="K393" i="1"/>
  <c r="G393" i="1"/>
  <c r="C393" i="1"/>
  <c r="O392" i="1"/>
  <c r="K392" i="1"/>
  <c r="G392" i="1"/>
  <c r="C392" i="1"/>
  <c r="O391" i="1"/>
  <c r="K391" i="1"/>
  <c r="G391" i="1"/>
  <c r="C391" i="1"/>
  <c r="O390" i="1"/>
  <c r="K390" i="1"/>
  <c r="G390" i="1"/>
  <c r="C390" i="1"/>
  <c r="O389" i="1"/>
  <c r="K389" i="1"/>
  <c r="G389" i="1"/>
  <c r="C389" i="1"/>
  <c r="O388" i="1"/>
  <c r="K388" i="1"/>
  <c r="G388" i="1"/>
  <c r="C388" i="1"/>
  <c r="O387" i="1"/>
  <c r="K387" i="1"/>
  <c r="G387" i="1"/>
  <c r="C387" i="1"/>
  <c r="O386" i="1"/>
  <c r="K386" i="1"/>
  <c r="G386" i="1"/>
  <c r="C386" i="1"/>
  <c r="O385" i="1"/>
  <c r="K385" i="1"/>
  <c r="G385" i="1"/>
  <c r="C385" i="1"/>
  <c r="O384" i="1"/>
  <c r="K384" i="1"/>
  <c r="G384" i="1"/>
  <c r="C384" i="1"/>
  <c r="O383" i="1"/>
  <c r="K383" i="1"/>
  <c r="G383" i="1"/>
  <c r="C383" i="1"/>
  <c r="O382" i="1"/>
  <c r="K382" i="1"/>
  <c r="G382" i="1"/>
  <c r="C382" i="1"/>
  <c r="O381" i="1"/>
  <c r="K381" i="1"/>
  <c r="G381" i="1"/>
  <c r="C381" i="1"/>
  <c r="O380" i="1"/>
  <c r="K380" i="1"/>
  <c r="G380" i="1"/>
  <c r="C380" i="1"/>
  <c r="O379" i="1"/>
  <c r="K379" i="1"/>
  <c r="G379" i="1"/>
  <c r="C379" i="1"/>
  <c r="O378" i="1"/>
  <c r="K378" i="1"/>
  <c r="G378" i="1"/>
  <c r="C378" i="1"/>
  <c r="O377" i="1"/>
  <c r="K377" i="1"/>
  <c r="G377" i="1"/>
  <c r="C377" i="1"/>
  <c r="O376" i="1"/>
  <c r="K376" i="1"/>
  <c r="G376" i="1"/>
  <c r="C376" i="1"/>
  <c r="O375" i="1"/>
  <c r="K375" i="1"/>
  <c r="G375" i="1"/>
  <c r="C375" i="1"/>
  <c r="O374" i="1"/>
  <c r="K374" i="1"/>
  <c r="G374" i="1"/>
  <c r="C374" i="1"/>
  <c r="O373" i="1"/>
  <c r="K373" i="1"/>
  <c r="G373" i="1"/>
  <c r="C373" i="1"/>
  <c r="O372" i="1"/>
  <c r="K372" i="1"/>
  <c r="G372" i="1"/>
  <c r="C372" i="1"/>
  <c r="O371" i="1"/>
  <c r="K371" i="1"/>
  <c r="G371" i="1"/>
  <c r="C371" i="1"/>
  <c r="O370" i="1"/>
  <c r="K370" i="1"/>
  <c r="G370" i="1"/>
  <c r="C370" i="1"/>
  <c r="O369" i="1"/>
  <c r="K369" i="1"/>
  <c r="G369" i="1"/>
  <c r="C369" i="1"/>
  <c r="O368" i="1"/>
  <c r="K368" i="1"/>
  <c r="G368" i="1"/>
  <c r="C368" i="1"/>
  <c r="O367" i="1"/>
  <c r="K367" i="1"/>
  <c r="G367" i="1"/>
  <c r="C367" i="1"/>
  <c r="O366" i="1"/>
  <c r="K366" i="1"/>
  <c r="G366" i="1"/>
  <c r="C366" i="1"/>
  <c r="O365" i="1"/>
  <c r="K365" i="1"/>
  <c r="G365" i="1"/>
  <c r="C365" i="1"/>
  <c r="O364" i="1"/>
  <c r="K364" i="1"/>
  <c r="G364" i="1"/>
  <c r="C364" i="1"/>
  <c r="O363" i="1"/>
  <c r="K363" i="1"/>
  <c r="G363" i="1"/>
  <c r="C363" i="1"/>
  <c r="O362" i="1"/>
  <c r="K362" i="1"/>
  <c r="G362" i="1"/>
  <c r="C362" i="1"/>
  <c r="O361" i="1"/>
  <c r="K361" i="1"/>
  <c r="G361" i="1"/>
  <c r="C361" i="1"/>
  <c r="O360" i="1"/>
  <c r="K360" i="1"/>
  <c r="G360" i="1"/>
  <c r="C360" i="1"/>
  <c r="O359" i="1"/>
  <c r="K359" i="1"/>
  <c r="G359" i="1"/>
  <c r="C359" i="1"/>
  <c r="O358" i="1"/>
  <c r="K358" i="1"/>
  <c r="G358" i="1"/>
  <c r="C358" i="1"/>
  <c r="O357" i="1"/>
  <c r="K357" i="1"/>
  <c r="G357" i="1"/>
  <c r="C357" i="1"/>
  <c r="O356" i="1"/>
  <c r="K356" i="1"/>
  <c r="G356" i="1"/>
  <c r="C356" i="1"/>
  <c r="O355" i="1"/>
  <c r="K355" i="1"/>
  <c r="G355" i="1"/>
  <c r="C355" i="1"/>
  <c r="O354" i="1"/>
  <c r="K354" i="1"/>
  <c r="G354" i="1"/>
  <c r="C354" i="1"/>
  <c r="O353" i="1"/>
  <c r="K353" i="1"/>
  <c r="G353" i="1"/>
  <c r="C353" i="1"/>
  <c r="O352" i="1"/>
  <c r="K352" i="1"/>
  <c r="G352" i="1"/>
  <c r="C352" i="1"/>
  <c r="O351" i="1"/>
  <c r="K351" i="1"/>
  <c r="G351" i="1"/>
  <c r="C351" i="1"/>
  <c r="O350" i="1"/>
  <c r="K350" i="1"/>
  <c r="G350" i="1"/>
  <c r="C350" i="1"/>
  <c r="O349" i="1"/>
  <c r="K349" i="1"/>
  <c r="G349" i="1"/>
  <c r="C349" i="1"/>
  <c r="O348" i="1"/>
  <c r="K348" i="1"/>
  <c r="G348" i="1"/>
  <c r="C348" i="1"/>
  <c r="O347" i="1"/>
  <c r="K347" i="1"/>
  <c r="G347" i="1"/>
  <c r="C347" i="1"/>
  <c r="O346" i="1"/>
  <c r="K346" i="1"/>
  <c r="G346" i="1"/>
  <c r="C346" i="1"/>
  <c r="O345" i="1"/>
  <c r="K345" i="1"/>
  <c r="G345" i="1"/>
  <c r="C345" i="1"/>
  <c r="O344" i="1"/>
  <c r="K344" i="1"/>
  <c r="G344" i="1"/>
  <c r="C344" i="1"/>
  <c r="O343" i="1"/>
  <c r="K343" i="1"/>
  <c r="G343" i="1"/>
  <c r="C343" i="1"/>
  <c r="O342" i="1"/>
  <c r="K342" i="1"/>
  <c r="G342" i="1"/>
  <c r="C342" i="1"/>
  <c r="O341" i="1"/>
  <c r="K341" i="1"/>
  <c r="G341" i="1"/>
  <c r="C341" i="1"/>
  <c r="O340" i="1"/>
  <c r="K340" i="1"/>
  <c r="G340" i="1"/>
  <c r="C340" i="1"/>
  <c r="O339" i="1"/>
  <c r="K339" i="1"/>
  <c r="G339" i="1"/>
  <c r="C339" i="1"/>
  <c r="O338" i="1"/>
  <c r="K338" i="1"/>
  <c r="G338" i="1"/>
  <c r="C338" i="1"/>
  <c r="O337" i="1"/>
  <c r="K337" i="1"/>
  <c r="G337" i="1"/>
  <c r="C337" i="1"/>
  <c r="O336" i="1"/>
  <c r="K336" i="1"/>
  <c r="G336" i="1"/>
  <c r="C336" i="1"/>
  <c r="O335" i="1"/>
  <c r="K335" i="1"/>
  <c r="G335" i="1"/>
  <c r="C335" i="1"/>
  <c r="O334" i="1"/>
  <c r="K334" i="1"/>
  <c r="G334" i="1"/>
  <c r="C334" i="1"/>
  <c r="O333" i="1"/>
  <c r="K333" i="1"/>
  <c r="G333" i="1"/>
  <c r="C333" i="1"/>
  <c r="O332" i="1"/>
  <c r="K332" i="1"/>
  <c r="G332" i="1"/>
  <c r="C332" i="1"/>
  <c r="O331" i="1"/>
  <c r="K331" i="1"/>
  <c r="G331" i="1"/>
  <c r="C331" i="1"/>
  <c r="O330" i="1"/>
  <c r="K330" i="1"/>
  <c r="G330" i="1"/>
  <c r="C330" i="1"/>
  <c r="O329" i="1"/>
  <c r="K329" i="1"/>
  <c r="G329" i="1"/>
  <c r="C329" i="1"/>
  <c r="O328" i="1"/>
  <c r="K328" i="1"/>
  <c r="G328" i="1"/>
  <c r="C328" i="1"/>
  <c r="O327" i="1"/>
  <c r="K327" i="1"/>
  <c r="G327" i="1"/>
  <c r="C327" i="1"/>
  <c r="O326" i="1"/>
  <c r="K326" i="1"/>
  <c r="G326" i="1"/>
  <c r="C326" i="1"/>
  <c r="O325" i="1"/>
  <c r="K325" i="1"/>
  <c r="G325" i="1"/>
  <c r="C325" i="1"/>
  <c r="O324" i="1"/>
  <c r="K324" i="1"/>
  <c r="G324" i="1"/>
  <c r="C324" i="1"/>
  <c r="O323" i="1"/>
  <c r="K323" i="1"/>
  <c r="G323" i="1"/>
  <c r="C323" i="1"/>
  <c r="O322" i="1"/>
  <c r="K322" i="1"/>
  <c r="G322" i="1"/>
  <c r="C322" i="1"/>
  <c r="O321" i="1"/>
  <c r="K321" i="1"/>
  <c r="G321" i="1"/>
  <c r="C321" i="1"/>
  <c r="O320" i="1"/>
  <c r="K320" i="1"/>
  <c r="G320" i="1"/>
  <c r="C320" i="1"/>
  <c r="O319" i="1"/>
  <c r="K319" i="1"/>
  <c r="G319" i="1"/>
  <c r="C319" i="1"/>
  <c r="O318" i="1"/>
  <c r="K318" i="1"/>
  <c r="G318" i="1"/>
  <c r="C318" i="1"/>
  <c r="O317" i="1"/>
  <c r="K317" i="1"/>
  <c r="G317" i="1"/>
  <c r="C317" i="1"/>
  <c r="O316" i="1"/>
  <c r="K316" i="1"/>
  <c r="G316" i="1"/>
  <c r="C316" i="1"/>
  <c r="O315" i="1"/>
  <c r="K315" i="1"/>
  <c r="G315" i="1"/>
  <c r="C315" i="1"/>
  <c r="O314" i="1"/>
  <c r="K314" i="1"/>
  <c r="G314" i="1"/>
  <c r="C314" i="1"/>
  <c r="O313" i="1"/>
  <c r="K313" i="1"/>
  <c r="G313" i="1"/>
  <c r="C313" i="1"/>
  <c r="O312" i="1"/>
  <c r="K312" i="1"/>
  <c r="G312" i="1"/>
  <c r="C312" i="1"/>
  <c r="O311" i="1"/>
  <c r="K311" i="1"/>
  <c r="G311" i="1"/>
  <c r="C311" i="1"/>
  <c r="O310" i="1"/>
  <c r="K310" i="1"/>
  <c r="G310" i="1"/>
  <c r="C310" i="1"/>
  <c r="O309" i="1"/>
  <c r="K309" i="1"/>
  <c r="G309" i="1"/>
  <c r="C309" i="1"/>
  <c r="O308" i="1"/>
  <c r="K308" i="1"/>
  <c r="G308" i="1"/>
  <c r="C308" i="1"/>
  <c r="O307" i="1"/>
  <c r="K307" i="1"/>
  <c r="G307" i="1"/>
  <c r="C307" i="1"/>
  <c r="O306" i="1"/>
  <c r="K306" i="1"/>
  <c r="G306" i="1"/>
  <c r="C306" i="1"/>
  <c r="O305" i="1"/>
  <c r="K305" i="1"/>
  <c r="G305" i="1"/>
  <c r="C305" i="1"/>
  <c r="O304" i="1"/>
  <c r="K304" i="1"/>
  <c r="G304" i="1"/>
  <c r="C304" i="1"/>
  <c r="O303" i="1"/>
  <c r="K303" i="1"/>
  <c r="G303" i="1"/>
  <c r="C303" i="1"/>
  <c r="O302" i="1"/>
  <c r="K302" i="1"/>
  <c r="G302" i="1"/>
  <c r="C302" i="1"/>
  <c r="O301" i="1"/>
  <c r="K301" i="1"/>
  <c r="G301" i="1"/>
  <c r="C301" i="1"/>
  <c r="O300" i="1"/>
  <c r="K300" i="1"/>
  <c r="G300" i="1"/>
  <c r="C300" i="1"/>
  <c r="O299" i="1"/>
  <c r="K299" i="1"/>
  <c r="G299" i="1"/>
  <c r="C299" i="1"/>
  <c r="O298" i="1"/>
  <c r="K298" i="1"/>
  <c r="G298" i="1"/>
  <c r="C298" i="1"/>
  <c r="O297" i="1"/>
  <c r="K297" i="1"/>
  <c r="G297" i="1"/>
  <c r="C297" i="1"/>
  <c r="O296" i="1"/>
  <c r="K296" i="1"/>
  <c r="G296" i="1"/>
  <c r="C296" i="1"/>
  <c r="O295" i="1"/>
  <c r="K295" i="1"/>
  <c r="G295" i="1"/>
  <c r="C295" i="1"/>
  <c r="O294" i="1"/>
  <c r="K294" i="1"/>
  <c r="G294" i="1"/>
  <c r="C294" i="1"/>
  <c r="O293" i="1"/>
  <c r="K293" i="1"/>
  <c r="G293" i="1"/>
  <c r="C293" i="1"/>
  <c r="O292" i="1"/>
  <c r="K292" i="1"/>
  <c r="G292" i="1"/>
  <c r="C292" i="1"/>
  <c r="O291" i="1"/>
  <c r="K291" i="1"/>
  <c r="G291" i="1"/>
  <c r="C291" i="1"/>
  <c r="O290" i="1"/>
  <c r="K290" i="1"/>
  <c r="G290" i="1"/>
  <c r="C290" i="1"/>
  <c r="O289" i="1"/>
  <c r="K289" i="1"/>
  <c r="G289" i="1"/>
  <c r="C289" i="1"/>
  <c r="O288" i="1"/>
  <c r="K288" i="1"/>
  <c r="G288" i="1"/>
  <c r="C288" i="1"/>
  <c r="O287" i="1"/>
  <c r="K287" i="1"/>
  <c r="G287" i="1"/>
  <c r="C287" i="1"/>
  <c r="O286" i="1"/>
  <c r="K286" i="1"/>
  <c r="G286" i="1"/>
  <c r="C286" i="1"/>
  <c r="O285" i="1"/>
  <c r="K285" i="1"/>
  <c r="G285" i="1"/>
  <c r="C285" i="1"/>
  <c r="O284" i="1"/>
  <c r="K284" i="1"/>
  <c r="G284" i="1"/>
  <c r="C284" i="1"/>
  <c r="O283" i="1"/>
  <c r="K283" i="1"/>
  <c r="G283" i="1"/>
  <c r="C283" i="1"/>
  <c r="O282" i="1"/>
  <c r="K282" i="1"/>
  <c r="G282" i="1"/>
  <c r="C282" i="1"/>
  <c r="O281" i="1"/>
  <c r="K281" i="1"/>
  <c r="G281" i="1"/>
  <c r="C281" i="1"/>
  <c r="O280" i="1"/>
  <c r="K280" i="1"/>
  <c r="G280" i="1"/>
  <c r="C280" i="1"/>
  <c r="O279" i="1"/>
  <c r="K279" i="1"/>
  <c r="G279" i="1"/>
  <c r="C279" i="1"/>
  <c r="O278" i="1"/>
  <c r="K278" i="1"/>
  <c r="G278" i="1"/>
  <c r="C278" i="1"/>
  <c r="O277" i="1"/>
  <c r="K277" i="1"/>
  <c r="G277" i="1"/>
  <c r="C277" i="1"/>
  <c r="O276" i="1"/>
  <c r="K276" i="1"/>
  <c r="G276" i="1"/>
  <c r="C276" i="1"/>
  <c r="O275" i="1"/>
  <c r="K275" i="1"/>
  <c r="G275" i="1"/>
  <c r="C275" i="1"/>
  <c r="O274" i="1"/>
  <c r="K274" i="1"/>
  <c r="G274" i="1"/>
  <c r="C274" i="1"/>
  <c r="O273" i="1"/>
  <c r="K273" i="1"/>
  <c r="G273" i="1"/>
  <c r="C273" i="1"/>
  <c r="O272" i="1"/>
  <c r="K272" i="1"/>
  <c r="G272" i="1"/>
  <c r="C272" i="1"/>
  <c r="O271" i="1"/>
  <c r="K271" i="1"/>
  <c r="G271" i="1"/>
  <c r="C271" i="1"/>
  <c r="O270" i="1"/>
  <c r="K270" i="1"/>
  <c r="G270" i="1"/>
  <c r="C270" i="1"/>
  <c r="O269" i="1"/>
  <c r="K269" i="1"/>
  <c r="G269" i="1"/>
  <c r="C269" i="1"/>
  <c r="O268" i="1"/>
  <c r="K268" i="1"/>
  <c r="G268" i="1"/>
  <c r="C268" i="1"/>
  <c r="O267" i="1"/>
  <c r="K267" i="1"/>
  <c r="G267" i="1"/>
  <c r="C267" i="1"/>
  <c r="O266" i="1"/>
  <c r="K266" i="1"/>
  <c r="G266" i="1"/>
  <c r="C266" i="1"/>
  <c r="O265" i="1"/>
  <c r="K265" i="1"/>
  <c r="G265" i="1"/>
  <c r="C265" i="1"/>
  <c r="O264" i="1"/>
  <c r="K264" i="1"/>
  <c r="G264" i="1"/>
  <c r="C264" i="1"/>
  <c r="O263" i="1"/>
  <c r="K263" i="1"/>
  <c r="G263" i="1"/>
  <c r="C263" i="1"/>
  <c r="O262" i="1"/>
  <c r="K262" i="1"/>
  <c r="G262" i="1"/>
  <c r="C262" i="1"/>
  <c r="O261" i="1"/>
  <c r="K261" i="1"/>
  <c r="G261" i="1"/>
  <c r="C261" i="1"/>
  <c r="O260" i="1"/>
  <c r="K260" i="1"/>
  <c r="G260" i="1"/>
  <c r="C260" i="1"/>
  <c r="O259" i="1"/>
  <c r="K259" i="1"/>
  <c r="G259" i="1"/>
  <c r="C259" i="1"/>
  <c r="O258" i="1"/>
  <c r="K258" i="1"/>
  <c r="G258" i="1"/>
  <c r="C258" i="1"/>
  <c r="O257" i="1"/>
  <c r="K257" i="1"/>
  <c r="G257" i="1"/>
  <c r="C257" i="1"/>
  <c r="O256" i="1"/>
  <c r="K256" i="1"/>
  <c r="G256" i="1"/>
  <c r="C256" i="1"/>
  <c r="O255" i="1"/>
  <c r="K255" i="1"/>
  <c r="G255" i="1"/>
  <c r="C255" i="1"/>
  <c r="O254" i="1"/>
  <c r="K254" i="1"/>
  <c r="G254" i="1"/>
  <c r="C254" i="1"/>
  <c r="O253" i="1"/>
  <c r="K253" i="1"/>
  <c r="G253" i="1"/>
  <c r="C253" i="1"/>
  <c r="O252" i="1"/>
  <c r="K252" i="1"/>
  <c r="G252" i="1"/>
  <c r="C252" i="1"/>
  <c r="O251" i="1"/>
  <c r="K251" i="1"/>
  <c r="G251" i="1"/>
  <c r="C251" i="1"/>
  <c r="O250" i="1"/>
  <c r="K250" i="1"/>
  <c r="G250" i="1"/>
  <c r="C250" i="1"/>
  <c r="O249" i="1"/>
  <c r="K249" i="1"/>
  <c r="G249" i="1"/>
  <c r="C249" i="1"/>
  <c r="O248" i="1"/>
  <c r="K248" i="1"/>
  <c r="G248" i="1"/>
  <c r="C248" i="1"/>
  <c r="O247" i="1"/>
  <c r="K247" i="1"/>
  <c r="G247" i="1"/>
  <c r="C247" i="1"/>
  <c r="O246" i="1"/>
  <c r="K246" i="1"/>
  <c r="G246" i="1"/>
  <c r="C246" i="1"/>
  <c r="O245" i="1"/>
  <c r="K245" i="1"/>
  <c r="G245" i="1"/>
  <c r="C245" i="1"/>
  <c r="O244" i="1"/>
  <c r="K244" i="1"/>
  <c r="G244" i="1"/>
  <c r="C244" i="1"/>
  <c r="O243" i="1"/>
  <c r="K243" i="1"/>
  <c r="G243" i="1"/>
  <c r="C243" i="1"/>
  <c r="O242" i="1"/>
  <c r="K242" i="1"/>
  <c r="G242" i="1"/>
  <c r="C242" i="1"/>
  <c r="O241" i="1"/>
  <c r="K241" i="1"/>
  <c r="G241" i="1"/>
  <c r="C241" i="1"/>
  <c r="O240" i="1"/>
  <c r="K240" i="1"/>
  <c r="G240" i="1"/>
  <c r="C240" i="1"/>
  <c r="O239" i="1"/>
  <c r="K239" i="1"/>
  <c r="G239" i="1"/>
  <c r="C239" i="1"/>
  <c r="O238" i="1"/>
  <c r="K238" i="1"/>
  <c r="G238" i="1"/>
  <c r="C238" i="1"/>
  <c r="O237" i="1"/>
  <c r="K237" i="1"/>
  <c r="G237" i="1"/>
  <c r="C237" i="1"/>
  <c r="O236" i="1"/>
  <c r="K236" i="1"/>
  <c r="G236" i="1"/>
  <c r="C236" i="1"/>
  <c r="O235" i="1"/>
  <c r="K235" i="1"/>
  <c r="G235" i="1"/>
  <c r="C235" i="1"/>
  <c r="O234" i="1"/>
  <c r="K234" i="1"/>
  <c r="G234" i="1"/>
  <c r="C234" i="1"/>
  <c r="O233" i="1"/>
  <c r="K233" i="1"/>
  <c r="G233" i="1"/>
  <c r="C233" i="1"/>
  <c r="O232" i="1"/>
  <c r="K232" i="1"/>
  <c r="G232" i="1"/>
  <c r="C232" i="1"/>
  <c r="O231" i="1"/>
  <c r="K231" i="1"/>
  <c r="G231" i="1"/>
  <c r="C231" i="1"/>
  <c r="O230" i="1"/>
  <c r="K230" i="1"/>
  <c r="G230" i="1"/>
  <c r="C230" i="1"/>
  <c r="O229" i="1"/>
  <c r="K229" i="1"/>
  <c r="G229" i="1"/>
  <c r="C229" i="1"/>
  <c r="O228" i="1"/>
  <c r="K228" i="1"/>
  <c r="G228" i="1"/>
  <c r="C228" i="1"/>
  <c r="O227" i="1"/>
  <c r="K227" i="1"/>
  <c r="G227" i="1"/>
  <c r="C227" i="1"/>
  <c r="O226" i="1"/>
  <c r="K226" i="1"/>
  <c r="G226" i="1"/>
  <c r="C226" i="1"/>
  <c r="O225" i="1"/>
  <c r="K225" i="1"/>
  <c r="G225" i="1"/>
  <c r="C225" i="1"/>
  <c r="O224" i="1"/>
  <c r="K224" i="1"/>
  <c r="G224" i="1"/>
  <c r="C224" i="1"/>
  <c r="O223" i="1"/>
  <c r="K223" i="1"/>
  <c r="G223" i="1"/>
  <c r="C223" i="1"/>
  <c r="O222" i="1"/>
  <c r="K222" i="1"/>
  <c r="G222" i="1"/>
  <c r="C222" i="1"/>
  <c r="O221" i="1"/>
  <c r="K221" i="1"/>
  <c r="G221" i="1"/>
  <c r="C221" i="1"/>
  <c r="O220" i="1"/>
  <c r="K220" i="1"/>
  <c r="G220" i="1"/>
  <c r="C220" i="1"/>
  <c r="O219" i="1"/>
  <c r="K219" i="1"/>
  <c r="G219" i="1"/>
  <c r="C219" i="1"/>
  <c r="O218" i="1"/>
  <c r="K218" i="1"/>
  <c r="G218" i="1"/>
  <c r="C218" i="1"/>
  <c r="O217" i="1"/>
  <c r="K217" i="1"/>
  <c r="G217" i="1"/>
  <c r="C217" i="1"/>
  <c r="O216" i="1"/>
  <c r="K216" i="1"/>
  <c r="G216" i="1"/>
  <c r="C216" i="1"/>
  <c r="O215" i="1"/>
  <c r="K215" i="1"/>
  <c r="G215" i="1"/>
  <c r="C215" i="1"/>
  <c r="O214" i="1"/>
  <c r="K214" i="1"/>
  <c r="G214" i="1"/>
  <c r="C214" i="1"/>
  <c r="O213" i="1"/>
  <c r="K213" i="1"/>
  <c r="G213" i="1"/>
  <c r="C213" i="1"/>
  <c r="O212" i="1"/>
  <c r="K212" i="1"/>
  <c r="G212" i="1"/>
  <c r="C212" i="1"/>
  <c r="O211" i="1"/>
  <c r="K211" i="1"/>
  <c r="G211" i="1"/>
  <c r="C211" i="1"/>
  <c r="O210" i="1"/>
  <c r="K210" i="1"/>
  <c r="G210" i="1"/>
  <c r="C210" i="1"/>
  <c r="O209" i="1"/>
  <c r="K209" i="1"/>
  <c r="G209" i="1"/>
  <c r="C209" i="1"/>
  <c r="O208" i="1"/>
  <c r="K208" i="1"/>
  <c r="G208" i="1"/>
  <c r="C208" i="1"/>
  <c r="O207" i="1"/>
  <c r="K207" i="1"/>
  <c r="G207" i="1"/>
  <c r="C207" i="1"/>
  <c r="O206" i="1"/>
  <c r="K206" i="1"/>
  <c r="G206" i="1"/>
  <c r="C206" i="1"/>
  <c r="O205" i="1"/>
  <c r="K205" i="1"/>
  <c r="G205" i="1"/>
  <c r="C205" i="1"/>
  <c r="O204" i="1"/>
  <c r="K204" i="1"/>
  <c r="G204" i="1"/>
  <c r="C204" i="1"/>
  <c r="O203" i="1"/>
  <c r="K203" i="1"/>
  <c r="G203" i="1"/>
  <c r="C203" i="1"/>
  <c r="O202" i="1"/>
  <c r="K202" i="1"/>
  <c r="G202" i="1"/>
  <c r="C202" i="1"/>
  <c r="O201" i="1"/>
  <c r="K201" i="1"/>
  <c r="G201" i="1"/>
  <c r="C201" i="1"/>
  <c r="O200" i="1"/>
  <c r="K200" i="1"/>
  <c r="G200" i="1"/>
  <c r="C200" i="1"/>
  <c r="O199" i="1"/>
  <c r="K199" i="1"/>
  <c r="G199" i="1"/>
  <c r="C199" i="1"/>
  <c r="O198" i="1"/>
  <c r="K198" i="1"/>
  <c r="G198" i="1"/>
  <c r="C198" i="1"/>
  <c r="O197" i="1"/>
  <c r="K197" i="1"/>
  <c r="G197" i="1"/>
  <c r="C197" i="1"/>
  <c r="O196" i="1"/>
  <c r="K196" i="1"/>
  <c r="G196" i="1"/>
  <c r="C196" i="1"/>
  <c r="O195" i="1"/>
  <c r="K195" i="1"/>
  <c r="G195" i="1"/>
  <c r="C195" i="1"/>
  <c r="O194" i="1"/>
  <c r="K194" i="1"/>
  <c r="G194" i="1"/>
  <c r="C194" i="1"/>
  <c r="O193" i="1"/>
  <c r="K193" i="1"/>
  <c r="G193" i="1"/>
  <c r="C193" i="1"/>
  <c r="O192" i="1"/>
  <c r="K192" i="1"/>
  <c r="G192" i="1"/>
  <c r="C192" i="1"/>
  <c r="O191" i="1"/>
  <c r="K191" i="1"/>
  <c r="G191" i="1"/>
  <c r="C191" i="1"/>
  <c r="O190" i="1"/>
  <c r="K190" i="1"/>
  <c r="G190" i="1"/>
  <c r="C190" i="1"/>
  <c r="O189" i="1"/>
  <c r="K189" i="1"/>
  <c r="G189" i="1"/>
  <c r="C189" i="1"/>
  <c r="O188" i="1"/>
  <c r="K188" i="1"/>
  <c r="G188" i="1"/>
  <c r="C188" i="1"/>
  <c r="O187" i="1"/>
  <c r="K187" i="1"/>
  <c r="G187" i="1"/>
  <c r="C187" i="1"/>
  <c r="O186" i="1"/>
  <c r="K186" i="1"/>
  <c r="G186" i="1"/>
  <c r="C186" i="1"/>
  <c r="O185" i="1"/>
  <c r="K185" i="1"/>
  <c r="G185" i="1"/>
  <c r="C185" i="1"/>
  <c r="O184" i="1"/>
  <c r="K184" i="1"/>
  <c r="G184" i="1"/>
  <c r="C184" i="1"/>
  <c r="O183" i="1"/>
  <c r="K183" i="1"/>
  <c r="G183" i="1"/>
  <c r="C183" i="1"/>
  <c r="O182" i="1"/>
  <c r="K182" i="1"/>
  <c r="G182" i="1"/>
  <c r="C182" i="1"/>
  <c r="O181" i="1"/>
  <c r="K181" i="1"/>
  <c r="G181" i="1"/>
  <c r="C181" i="1"/>
  <c r="O180" i="1"/>
  <c r="K180" i="1"/>
  <c r="G180" i="1"/>
  <c r="C180" i="1"/>
  <c r="O179" i="1"/>
  <c r="K179" i="1"/>
  <c r="G179" i="1"/>
  <c r="C179" i="1"/>
  <c r="O178" i="1"/>
  <c r="K178" i="1"/>
  <c r="G178" i="1"/>
  <c r="C178" i="1"/>
  <c r="O177" i="1"/>
  <c r="K177" i="1"/>
  <c r="G177" i="1"/>
  <c r="C177" i="1"/>
  <c r="O176" i="1"/>
  <c r="K176" i="1"/>
  <c r="G176" i="1"/>
  <c r="C176" i="1"/>
  <c r="O175" i="1"/>
  <c r="K175" i="1"/>
  <c r="G175" i="1"/>
  <c r="C175" i="1"/>
  <c r="O174" i="1"/>
  <c r="K174" i="1"/>
  <c r="G174" i="1"/>
  <c r="C174" i="1"/>
  <c r="O173" i="1"/>
  <c r="K173" i="1"/>
  <c r="G173" i="1"/>
  <c r="C173" i="1"/>
  <c r="O172" i="1"/>
  <c r="K172" i="1"/>
  <c r="G172" i="1"/>
  <c r="C172" i="1"/>
  <c r="O171" i="1"/>
  <c r="K171" i="1"/>
  <c r="G171" i="1"/>
  <c r="C171" i="1"/>
  <c r="O170" i="1"/>
  <c r="K170" i="1"/>
  <c r="G170" i="1"/>
  <c r="C170" i="1"/>
  <c r="O169" i="1"/>
  <c r="K169" i="1"/>
  <c r="G169" i="1"/>
  <c r="C169" i="1"/>
  <c r="O168" i="1"/>
  <c r="K168" i="1"/>
  <c r="G168" i="1"/>
  <c r="C168" i="1"/>
  <c r="O167" i="1"/>
  <c r="K167" i="1"/>
  <c r="G167" i="1"/>
  <c r="C167" i="1"/>
  <c r="O166" i="1"/>
  <c r="K166" i="1"/>
  <c r="G166" i="1"/>
  <c r="C166" i="1"/>
  <c r="O165" i="1"/>
  <c r="K165" i="1"/>
  <c r="G165" i="1"/>
  <c r="C165" i="1"/>
  <c r="O164" i="1"/>
  <c r="K164" i="1"/>
  <c r="G164" i="1"/>
  <c r="C164" i="1"/>
  <c r="O163" i="1"/>
  <c r="K163" i="1"/>
  <c r="G163" i="1"/>
  <c r="C163" i="1"/>
  <c r="O162" i="1"/>
  <c r="K162" i="1"/>
  <c r="G162" i="1"/>
  <c r="C162" i="1"/>
  <c r="O161" i="1"/>
  <c r="K161" i="1"/>
  <c r="G161" i="1"/>
  <c r="C161" i="1"/>
  <c r="O160" i="1"/>
  <c r="K160" i="1"/>
  <c r="G160" i="1"/>
  <c r="C160" i="1"/>
  <c r="O159" i="1"/>
  <c r="K159" i="1"/>
  <c r="G159" i="1"/>
  <c r="C159" i="1"/>
  <c r="O158" i="1"/>
  <c r="K158" i="1"/>
  <c r="G158" i="1"/>
  <c r="C158" i="1"/>
  <c r="O157" i="1"/>
  <c r="K157" i="1"/>
  <c r="G157" i="1"/>
  <c r="C157" i="1"/>
  <c r="O156" i="1"/>
  <c r="K156" i="1"/>
  <c r="G156" i="1"/>
  <c r="C156" i="1"/>
  <c r="O155" i="1"/>
  <c r="K155" i="1"/>
  <c r="G155" i="1"/>
  <c r="C155" i="1"/>
  <c r="O154" i="1"/>
  <c r="K154" i="1"/>
  <c r="G154" i="1"/>
  <c r="C154" i="1"/>
  <c r="O153" i="1"/>
  <c r="K153" i="1"/>
  <c r="G153" i="1"/>
  <c r="C153" i="1"/>
  <c r="O152" i="1"/>
  <c r="K152" i="1"/>
  <c r="G152" i="1"/>
  <c r="C152" i="1"/>
  <c r="O151" i="1"/>
  <c r="K151" i="1"/>
  <c r="G151" i="1"/>
  <c r="C151" i="1"/>
  <c r="O150" i="1"/>
  <c r="K150" i="1"/>
  <c r="G150" i="1"/>
  <c r="C150" i="1"/>
  <c r="O149" i="1"/>
  <c r="K149" i="1"/>
  <c r="G149" i="1"/>
  <c r="C149" i="1"/>
  <c r="O148" i="1"/>
  <c r="K148" i="1"/>
  <c r="G148" i="1"/>
  <c r="C148" i="1"/>
  <c r="O147" i="1"/>
  <c r="K147" i="1"/>
  <c r="G147" i="1"/>
  <c r="C147" i="1"/>
  <c r="O146" i="1"/>
  <c r="K146" i="1"/>
  <c r="G146" i="1"/>
  <c r="C146" i="1"/>
  <c r="O145" i="1"/>
  <c r="K145" i="1"/>
  <c r="G145" i="1"/>
  <c r="C145" i="1"/>
  <c r="O144" i="1"/>
  <c r="K144" i="1"/>
  <c r="G144" i="1"/>
  <c r="C144" i="1"/>
  <c r="O143" i="1"/>
  <c r="K143" i="1"/>
  <c r="G143" i="1"/>
  <c r="C143" i="1"/>
  <c r="O142" i="1"/>
  <c r="K142" i="1"/>
  <c r="G142" i="1"/>
  <c r="C142" i="1"/>
  <c r="O141" i="1"/>
  <c r="K141" i="1"/>
  <c r="G141" i="1"/>
  <c r="C141" i="1"/>
  <c r="O140" i="1"/>
  <c r="K140" i="1"/>
  <c r="G140" i="1"/>
  <c r="C140" i="1"/>
  <c r="O139" i="1"/>
  <c r="K139" i="1"/>
  <c r="G139" i="1"/>
  <c r="C139" i="1"/>
  <c r="O138" i="1"/>
  <c r="K138" i="1"/>
  <c r="G138" i="1"/>
  <c r="C138" i="1"/>
  <c r="O137" i="1"/>
  <c r="K137" i="1"/>
  <c r="G137" i="1"/>
  <c r="C137" i="1"/>
  <c r="O136" i="1"/>
  <c r="K136" i="1"/>
  <c r="G136" i="1"/>
  <c r="C136" i="1"/>
  <c r="O135" i="1"/>
  <c r="K135" i="1"/>
  <c r="G135" i="1"/>
  <c r="C135" i="1"/>
  <c r="O134" i="1"/>
  <c r="K134" i="1"/>
  <c r="G134" i="1"/>
  <c r="C134" i="1"/>
  <c r="O133" i="1"/>
  <c r="K133" i="1"/>
  <c r="G133" i="1"/>
  <c r="C133" i="1"/>
  <c r="O132" i="1"/>
  <c r="K132" i="1"/>
  <c r="G132" i="1"/>
  <c r="C132" i="1"/>
  <c r="O131" i="1"/>
  <c r="K131" i="1"/>
  <c r="G131" i="1"/>
  <c r="C131" i="1"/>
  <c r="O130" i="1"/>
  <c r="K130" i="1"/>
  <c r="G130" i="1"/>
  <c r="C130" i="1"/>
  <c r="O129" i="1"/>
  <c r="K129" i="1"/>
  <c r="G129" i="1"/>
  <c r="C129" i="1"/>
  <c r="O128" i="1"/>
  <c r="K128" i="1"/>
  <c r="G128" i="1"/>
  <c r="C128" i="1"/>
  <c r="O127" i="1"/>
  <c r="K127" i="1"/>
  <c r="G127" i="1"/>
  <c r="C127" i="1"/>
  <c r="O126" i="1"/>
  <c r="K126" i="1"/>
  <c r="G126" i="1"/>
  <c r="C126" i="1"/>
  <c r="O125" i="1"/>
  <c r="K125" i="1"/>
  <c r="G125" i="1"/>
  <c r="C125" i="1"/>
  <c r="O124" i="1"/>
  <c r="K124" i="1"/>
  <c r="G124" i="1"/>
  <c r="C124" i="1"/>
  <c r="O123" i="1"/>
  <c r="K123" i="1"/>
  <c r="G123" i="1"/>
  <c r="C123" i="1"/>
  <c r="O122" i="1"/>
  <c r="K122" i="1"/>
  <c r="G122" i="1"/>
  <c r="C122" i="1"/>
  <c r="O121" i="1"/>
  <c r="K121" i="1"/>
  <c r="G121" i="1"/>
  <c r="C121" i="1"/>
  <c r="O120" i="1"/>
  <c r="K120" i="1"/>
  <c r="G120" i="1"/>
  <c r="C120" i="1"/>
  <c r="O119" i="1"/>
  <c r="K119" i="1"/>
  <c r="G119" i="1"/>
  <c r="C119" i="1"/>
  <c r="O118" i="1"/>
  <c r="K118" i="1"/>
  <c r="G118" i="1"/>
  <c r="C118" i="1"/>
  <c r="O117" i="1"/>
  <c r="K117" i="1"/>
  <c r="G117" i="1"/>
  <c r="C117" i="1"/>
  <c r="O116" i="1"/>
  <c r="K116" i="1"/>
  <c r="G116" i="1"/>
  <c r="C116" i="1"/>
  <c r="O115" i="1"/>
  <c r="K115" i="1"/>
  <c r="G115" i="1"/>
  <c r="C115" i="1"/>
  <c r="O114" i="1"/>
  <c r="K114" i="1"/>
  <c r="G114" i="1"/>
  <c r="C114" i="1"/>
  <c r="O113" i="1"/>
  <c r="K113" i="1"/>
  <c r="G113" i="1"/>
  <c r="C113" i="1"/>
  <c r="O112" i="1"/>
  <c r="K112" i="1"/>
  <c r="G112" i="1"/>
  <c r="C112" i="1"/>
  <c r="O111" i="1"/>
  <c r="K111" i="1"/>
  <c r="G111" i="1"/>
  <c r="C111" i="1"/>
  <c r="O110" i="1"/>
  <c r="K110" i="1"/>
  <c r="G110" i="1"/>
  <c r="C110" i="1"/>
  <c r="O109" i="1"/>
  <c r="K109" i="1"/>
  <c r="G109" i="1"/>
  <c r="C109" i="1"/>
  <c r="O108" i="1"/>
  <c r="K108" i="1"/>
  <c r="G108" i="1"/>
  <c r="C108" i="1"/>
  <c r="O107" i="1"/>
  <c r="K107" i="1"/>
  <c r="G107" i="1"/>
  <c r="C107" i="1"/>
  <c r="O106" i="1"/>
  <c r="K106" i="1"/>
  <c r="G106" i="1"/>
  <c r="C106" i="1"/>
  <c r="O105" i="1"/>
  <c r="K105" i="1"/>
  <c r="G105" i="1"/>
  <c r="C105" i="1"/>
  <c r="O104" i="1"/>
  <c r="K104" i="1"/>
  <c r="G104" i="1"/>
  <c r="C104" i="1"/>
  <c r="O103" i="1"/>
  <c r="K103" i="1"/>
  <c r="G103" i="1"/>
  <c r="C103" i="1"/>
  <c r="O102" i="1"/>
  <c r="K102" i="1"/>
  <c r="G102" i="1"/>
  <c r="C102" i="1"/>
  <c r="O101" i="1"/>
  <c r="K101" i="1"/>
  <c r="G101" i="1"/>
  <c r="C101" i="1"/>
  <c r="O100" i="1"/>
  <c r="K100" i="1"/>
  <c r="G100" i="1"/>
  <c r="C100" i="1"/>
  <c r="O99" i="1"/>
  <c r="K99" i="1"/>
  <c r="G99" i="1"/>
  <c r="C99" i="1"/>
  <c r="O98" i="1"/>
  <c r="K98" i="1"/>
  <c r="G98" i="1"/>
  <c r="C98" i="1"/>
  <c r="O97" i="1"/>
  <c r="K97" i="1"/>
  <c r="G97" i="1"/>
  <c r="C97" i="1"/>
  <c r="O96" i="1"/>
  <c r="K96" i="1"/>
  <c r="G96" i="1"/>
  <c r="C96" i="1"/>
  <c r="O95" i="1"/>
  <c r="K95" i="1"/>
  <c r="G95" i="1"/>
  <c r="C95" i="1"/>
  <c r="O94" i="1"/>
  <c r="K94" i="1"/>
  <c r="G94" i="1"/>
  <c r="C94" i="1"/>
  <c r="O93" i="1"/>
  <c r="K93" i="1"/>
  <c r="G93" i="1"/>
  <c r="C93" i="1"/>
  <c r="O92" i="1"/>
  <c r="K92" i="1"/>
  <c r="G92" i="1"/>
  <c r="C92" i="1"/>
  <c r="O91" i="1"/>
  <c r="K91" i="1"/>
  <c r="G91" i="1"/>
  <c r="C91" i="1"/>
  <c r="O90" i="1"/>
  <c r="K90" i="1"/>
  <c r="G90" i="1"/>
  <c r="C90" i="1"/>
  <c r="O89" i="1"/>
  <c r="K89" i="1"/>
  <c r="G89" i="1"/>
  <c r="C89" i="1"/>
  <c r="O88" i="1"/>
  <c r="K88" i="1"/>
  <c r="G88" i="1"/>
  <c r="C88" i="1"/>
  <c r="O87" i="1"/>
  <c r="K87" i="1"/>
  <c r="G87" i="1"/>
  <c r="C87" i="1"/>
  <c r="O86" i="1"/>
  <c r="K86" i="1"/>
  <c r="G86" i="1"/>
  <c r="C86" i="1"/>
  <c r="O85" i="1"/>
  <c r="K85" i="1"/>
  <c r="G85" i="1"/>
  <c r="C85" i="1"/>
  <c r="O84" i="1"/>
  <c r="K84" i="1"/>
  <c r="G84" i="1"/>
  <c r="C84" i="1"/>
  <c r="O83" i="1"/>
  <c r="K83" i="1"/>
  <c r="G83" i="1"/>
  <c r="C83" i="1"/>
  <c r="O82" i="1"/>
  <c r="K82" i="1"/>
  <c r="G82" i="1"/>
  <c r="C82" i="1"/>
  <c r="O81" i="1"/>
  <c r="K81" i="1"/>
  <c r="G81" i="1"/>
  <c r="C81" i="1"/>
  <c r="O80" i="1"/>
  <c r="K80" i="1"/>
  <c r="G80" i="1"/>
  <c r="C80" i="1"/>
  <c r="O79" i="1"/>
  <c r="K79" i="1"/>
  <c r="G79" i="1"/>
  <c r="C79" i="1"/>
  <c r="O78" i="1"/>
  <c r="K78" i="1"/>
  <c r="G78" i="1"/>
  <c r="C78" i="1"/>
  <c r="O77" i="1"/>
  <c r="K77" i="1"/>
  <c r="G77" i="1"/>
  <c r="C77" i="1"/>
  <c r="O76" i="1"/>
  <c r="K76" i="1"/>
  <c r="G76" i="1"/>
  <c r="C76" i="1"/>
  <c r="O75" i="1"/>
  <c r="K75" i="1"/>
  <c r="G75" i="1"/>
  <c r="C75" i="1"/>
  <c r="O74" i="1"/>
  <c r="K74" i="1"/>
  <c r="G74" i="1"/>
  <c r="C74" i="1"/>
  <c r="O73" i="1"/>
  <c r="K73" i="1"/>
  <c r="G73" i="1"/>
  <c r="C73" i="1"/>
  <c r="O72" i="1"/>
  <c r="K72" i="1"/>
  <c r="G72" i="1"/>
  <c r="C72" i="1"/>
  <c r="O71" i="1"/>
  <c r="K71" i="1"/>
  <c r="G71" i="1"/>
  <c r="C71" i="1"/>
  <c r="O70" i="1"/>
  <c r="K70" i="1"/>
  <c r="G70" i="1"/>
  <c r="C70" i="1"/>
  <c r="O69" i="1"/>
  <c r="K69" i="1"/>
  <c r="G69" i="1"/>
  <c r="C69" i="1"/>
  <c r="O68" i="1"/>
  <c r="K68" i="1"/>
  <c r="G68" i="1"/>
  <c r="C68" i="1"/>
  <c r="O67" i="1"/>
  <c r="K67" i="1"/>
  <c r="G67" i="1"/>
  <c r="C67" i="1"/>
  <c r="O66" i="1"/>
  <c r="K66" i="1"/>
  <c r="G66" i="1"/>
  <c r="C66" i="1"/>
  <c r="O65" i="1"/>
  <c r="K65" i="1"/>
  <c r="G65" i="1"/>
  <c r="C65" i="1"/>
  <c r="O64" i="1"/>
  <c r="K64" i="1"/>
  <c r="G64" i="1"/>
  <c r="C64" i="1"/>
  <c r="O63" i="1"/>
  <c r="K63" i="1"/>
  <c r="G63" i="1"/>
  <c r="C63" i="1"/>
  <c r="O62" i="1"/>
  <c r="K62" i="1"/>
  <c r="G62" i="1"/>
  <c r="C62" i="1"/>
  <c r="O61" i="1"/>
  <c r="K61" i="1"/>
  <c r="G61" i="1"/>
  <c r="C61" i="1"/>
  <c r="O60" i="1"/>
  <c r="K60" i="1"/>
  <c r="G60" i="1"/>
  <c r="C60" i="1"/>
  <c r="O59" i="1"/>
  <c r="K59" i="1"/>
  <c r="G59" i="1"/>
  <c r="C59" i="1"/>
  <c r="O58" i="1"/>
  <c r="K58" i="1"/>
  <c r="G58" i="1"/>
  <c r="C58" i="1"/>
  <c r="O57" i="1"/>
  <c r="K57" i="1"/>
  <c r="G57" i="1"/>
  <c r="C57" i="1"/>
  <c r="O56" i="1"/>
  <c r="K56" i="1"/>
  <c r="G56" i="1"/>
  <c r="C56" i="1"/>
  <c r="O55" i="1"/>
  <c r="K55" i="1"/>
  <c r="G55" i="1"/>
  <c r="C55" i="1"/>
  <c r="O54" i="1"/>
  <c r="K54" i="1"/>
  <c r="G54" i="1"/>
  <c r="C54" i="1"/>
  <c r="O53" i="1"/>
  <c r="K53" i="1"/>
  <c r="G53" i="1"/>
  <c r="C53" i="1"/>
  <c r="O52" i="1"/>
  <c r="K52" i="1"/>
  <c r="G52" i="1"/>
  <c r="C52" i="1"/>
  <c r="O51" i="1"/>
  <c r="K51" i="1"/>
  <c r="G51" i="1"/>
  <c r="C51" i="1"/>
  <c r="O50" i="1"/>
  <c r="K50" i="1"/>
  <c r="G50" i="1"/>
  <c r="C50" i="1"/>
  <c r="O49" i="1"/>
  <c r="K49" i="1"/>
  <c r="G49" i="1"/>
  <c r="C49" i="1"/>
  <c r="O48" i="1"/>
  <c r="K48" i="1"/>
  <c r="G48" i="1"/>
  <c r="C48" i="1"/>
  <c r="O47" i="1"/>
  <c r="K47" i="1"/>
  <c r="G47" i="1"/>
  <c r="C47" i="1"/>
  <c r="O46" i="1"/>
  <c r="K46" i="1"/>
  <c r="G46" i="1"/>
  <c r="C46" i="1"/>
  <c r="O45" i="1"/>
  <c r="K45" i="1"/>
  <c r="G45" i="1"/>
  <c r="C45" i="1"/>
  <c r="O44" i="1"/>
  <c r="K44" i="1"/>
  <c r="G44" i="1"/>
  <c r="C44" i="1"/>
  <c r="O43" i="1"/>
  <c r="K43" i="1"/>
  <c r="G43" i="1"/>
  <c r="C43" i="1"/>
  <c r="O42" i="1"/>
  <c r="K42" i="1"/>
  <c r="G42" i="1"/>
  <c r="C42" i="1"/>
  <c r="O41" i="1"/>
  <c r="K41" i="1"/>
  <c r="G41" i="1"/>
  <c r="C41" i="1"/>
  <c r="O40" i="1"/>
  <c r="K40" i="1"/>
  <c r="G40" i="1"/>
  <c r="C40" i="1"/>
  <c r="O39" i="1"/>
  <c r="K39" i="1"/>
  <c r="G39" i="1"/>
  <c r="C39" i="1"/>
  <c r="O38" i="1"/>
  <c r="K38" i="1"/>
  <c r="G38" i="1"/>
  <c r="C38" i="1"/>
  <c r="O37" i="1"/>
  <c r="K37" i="1"/>
  <c r="G37" i="1"/>
  <c r="C37" i="1"/>
  <c r="O36" i="1"/>
  <c r="K36" i="1"/>
  <c r="G36" i="1"/>
  <c r="C36" i="1"/>
  <c r="O35" i="1"/>
  <c r="K35" i="1"/>
  <c r="G35" i="1"/>
  <c r="C35" i="1"/>
  <c r="O34" i="1"/>
  <c r="K34" i="1"/>
  <c r="G34" i="1"/>
  <c r="C34" i="1"/>
  <c r="O33" i="1"/>
  <c r="K33" i="1"/>
  <c r="G33" i="1"/>
  <c r="C33" i="1"/>
  <c r="O32" i="1"/>
  <c r="K32" i="1"/>
  <c r="G32" i="1"/>
  <c r="C32" i="1"/>
  <c r="O31" i="1"/>
  <c r="K31" i="1"/>
  <c r="G31" i="1"/>
  <c r="C31" i="1"/>
  <c r="O30" i="1"/>
  <c r="K30" i="1"/>
  <c r="G30" i="1"/>
  <c r="C30" i="1"/>
  <c r="O29" i="1"/>
  <c r="K29" i="1"/>
  <c r="G29" i="1"/>
  <c r="C29" i="1"/>
  <c r="O28" i="1"/>
  <c r="K28" i="1"/>
  <c r="G28" i="1"/>
  <c r="C28" i="1"/>
  <c r="O27" i="1"/>
  <c r="K27" i="1"/>
  <c r="G27" i="1"/>
  <c r="C27" i="1"/>
  <c r="O26" i="1"/>
  <c r="K26" i="1"/>
  <c r="G26" i="1"/>
  <c r="C26" i="1"/>
  <c r="O25" i="1"/>
  <c r="K25" i="1"/>
  <c r="G25" i="1"/>
  <c r="C25" i="1"/>
  <c r="O24" i="1"/>
  <c r="K24" i="1"/>
  <c r="G24" i="1"/>
  <c r="C24" i="1"/>
  <c r="O23" i="1"/>
  <c r="K23" i="1"/>
  <c r="G23" i="1"/>
  <c r="C23" i="1"/>
  <c r="O22" i="1"/>
  <c r="K22" i="1"/>
  <c r="G22" i="1"/>
  <c r="C22" i="1"/>
  <c r="O21" i="1"/>
  <c r="K21" i="1"/>
  <c r="G21" i="1"/>
  <c r="C21" i="1"/>
  <c r="O20" i="1"/>
  <c r="K20" i="1"/>
  <c r="G20" i="1"/>
  <c r="C20" i="1"/>
  <c r="O19" i="1"/>
  <c r="K19" i="1"/>
  <c r="G19" i="1"/>
  <c r="C19" i="1"/>
  <c r="O18" i="1"/>
  <c r="K18" i="1"/>
  <c r="G18" i="1"/>
  <c r="C18" i="1"/>
  <c r="O17" i="1"/>
  <c r="K17" i="1"/>
  <c r="G17" i="1"/>
  <c r="C17" i="1"/>
  <c r="O16" i="1"/>
  <c r="K16" i="1"/>
  <c r="G16" i="1"/>
  <c r="C16" i="1"/>
  <c r="O15" i="1"/>
  <c r="K15" i="1"/>
  <c r="G15" i="1"/>
  <c r="C15" i="1"/>
  <c r="O14" i="1"/>
  <c r="K14" i="1"/>
  <c r="G14" i="1"/>
  <c r="C14" i="1"/>
  <c r="O13" i="1"/>
  <c r="K13" i="1"/>
  <c r="G13" i="1"/>
  <c r="C13" i="1"/>
  <c r="O12" i="1"/>
  <c r="K12" i="1"/>
  <c r="G12" i="1"/>
  <c r="C12" i="1"/>
  <c r="O11" i="1"/>
  <c r="K11" i="1"/>
  <c r="G11" i="1"/>
  <c r="C11" i="1"/>
  <c r="O10" i="1"/>
  <c r="K10" i="1"/>
  <c r="G10" i="1"/>
  <c r="C10" i="1"/>
  <c r="O9" i="1"/>
  <c r="K9" i="1"/>
  <c r="G9" i="1"/>
  <c r="C9" i="1"/>
  <c r="O8" i="1"/>
  <c r="K8" i="1"/>
  <c r="G8" i="1"/>
  <c r="C8" i="1"/>
  <c r="O7" i="1"/>
  <c r="K7" i="1"/>
  <c r="G7" i="1"/>
  <c r="C7" i="1"/>
  <c r="O6" i="1"/>
  <c r="K6" i="1"/>
  <c r="G6" i="1"/>
  <c r="C6" i="1"/>
  <c r="O5" i="1"/>
  <c r="K5" i="1"/>
  <c r="G5" i="1"/>
  <c r="C5" i="1"/>
  <c r="O4" i="1"/>
  <c r="K4" i="1"/>
  <c r="G4" i="1"/>
  <c r="C4" i="1"/>
  <c r="O3" i="1"/>
  <c r="K7" i="2" s="1"/>
  <c r="K3" i="1"/>
  <c r="G3" i="1"/>
  <c r="C3" i="1"/>
  <c r="K11" i="2"/>
  <c r="D6" i="3" s="1"/>
  <c r="H11" i="2"/>
  <c r="C6" i="3" s="1"/>
  <c r="K5" i="2"/>
  <c r="K6" i="2" s="1"/>
  <c r="H5" i="2"/>
  <c r="H6" i="2" s="1"/>
  <c r="B5" i="2"/>
  <c r="B6" i="2" s="1"/>
  <c r="E13" i="2" l="1"/>
  <c r="B10" i="3" s="1"/>
  <c r="E14" i="2"/>
  <c r="E9" i="2"/>
  <c r="E12" i="2" s="1"/>
  <c r="B9" i="3" s="1"/>
  <c r="D7" i="3"/>
  <c r="K9" i="2"/>
  <c r="D8" i="3" s="1"/>
  <c r="B11" i="3"/>
  <c r="B5" i="3"/>
  <c r="C5" i="3"/>
  <c r="H13" i="2"/>
  <c r="C10" i="3" s="1"/>
  <c r="K14" i="2"/>
  <c r="D11" i="3" s="1"/>
  <c r="D5" i="3"/>
  <c r="K13" i="2"/>
  <c r="D10" i="3" s="1"/>
  <c r="H7" i="2"/>
  <c r="B8" i="3"/>
  <c r="H9" i="2" l="1"/>
  <c r="C7" i="3"/>
  <c r="B13" i="3"/>
  <c r="K12" i="2"/>
  <c r="D9" i="3" s="1"/>
  <c r="C8" i="3" l="1"/>
  <c r="H12" i="2"/>
  <c r="C9" i="3" s="1"/>
  <c r="H14" i="2"/>
  <c r="C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Source: investing.com
Historical NAV/price data downloaded from investing.com (https://www.investing.com) for the 5-year comparison period.</t>
        </r>
      </text>
    </comment>
    <comment ref="E1" authorId="0" shapeId="0" xr:uid="{00000000-0006-0000-0000-000002000000}">
      <text>
        <r>
          <rPr>
            <sz val="10"/>
            <rFont val="Arial"/>
            <family val="2"/>
          </rPr>
          <t>Source: investing.com
Historical NAV/price data downloaded from investing.com (https://www.investing.com) for the 5-year comparison period.</t>
        </r>
      </text>
    </comment>
    <comment ref="I1" authorId="0" shapeId="0" xr:uid="{00000000-0006-0000-0000-000003000000}">
      <text>
        <r>
          <rPr>
            <sz val="10"/>
            <rFont val="Arial"/>
            <family val="2"/>
          </rPr>
          <t>Source: investing.com
Historical NAV/price data downloaded from investing.com (https://www.investing.com) for the 5-year comparison period.</t>
        </r>
      </text>
    </comment>
    <comment ref="M1" authorId="0" shapeId="0" xr:uid="{00000000-0006-0000-0000-000004000000}">
      <text>
        <r>
          <rPr>
            <sz val="10"/>
            <rFont val="Arial"/>
            <family val="2"/>
          </rPr>
          <t>Source: investing.com
Historical NAV/price data downloaded from investing.com (https://www.investing.com) for the 5-year comparison period.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" authorId="0" shapeId="0" xr:uid="{B9E61C25-FDD3-4226-AC8A-ECAEDC60173E}">
      <text>
        <r>
          <rPr>
            <sz val="10"/>
            <rFont val="Arial"/>
            <family val="2"/>
          </rPr>
          <t>Source: investing.com
Historical NAV/price data downloaded from investing.com (https://www.investing.com) for the 5-year comparison period.</t>
        </r>
      </text>
    </comment>
    <comment ref="E8" authorId="0" shapeId="0" xr:uid="{00000000-0006-0000-0100-000001000000}">
      <text>
        <r>
          <rPr>
            <sz val="10"/>
            <rFont val="Arial"/>
            <family val="2"/>
          </rPr>
          <t>Risk-Free Rate: 6.98%
Basis: India's 10-Year Government Security (G-Sec) yield, the standard proxy for the risk-free rate used in Indian portfolio/CAPM analysis.
Source: investing.com - India 10-Year Government Bond Yield (https://www.investing.com/rates-bonds/india-10-year-bond-yield)</t>
        </r>
      </text>
    </comment>
    <comment ref="H8" authorId="0" shapeId="0" xr:uid="{00000000-0006-0000-0100-000002000000}">
      <text>
        <r>
          <rPr>
            <sz val="10"/>
            <rFont val="Arial"/>
            <family val="2"/>
          </rPr>
          <t>Risk-Free Rate: 6.98%
Basis: India's 10-Year Government Security (G-Sec) yield, the standard proxy for the risk-free rate used in Indian portfolio/CAPM analysis.
Source: investing.com - India 10-Year Government Bond Yield (https://www.investing.com/rates-bonds/india-10-year-bond-yield)</t>
        </r>
      </text>
    </comment>
    <comment ref="K8" authorId="0" shapeId="0" xr:uid="{00000000-0006-0000-0100-000003000000}">
      <text>
        <r>
          <rPr>
            <sz val="10"/>
            <rFont val="Arial"/>
            <family val="2"/>
          </rPr>
          <t>Risk-Free Rate: 6.98%
Basis: India's 10-Year Government Security (G-Sec) yield, the standard proxy for the risk-free rate used in Indian portfolio/CAPM analysis.
Source: investing.com - India 10-Year Government Bond Yield (https://www.investing.com/rates-bonds/india-10-year-bond-yield)</t>
        </r>
      </text>
    </comment>
  </commentList>
</comments>
</file>

<file path=xl/sharedStrings.xml><?xml version="1.0" encoding="utf-8"?>
<sst xmlns="http://schemas.openxmlformats.org/spreadsheetml/2006/main" count="64" uniqueCount="24">
  <si>
    <t>SBI Contra Fund</t>
  </si>
  <si>
    <t>Invesco India Contra Fund</t>
  </si>
  <si>
    <t>Kotak Contra Fund</t>
  </si>
  <si>
    <t>Nifty 50</t>
  </si>
  <si>
    <t>Date</t>
  </si>
  <si>
    <t>Price</t>
  </si>
  <si>
    <t>Change</t>
  </si>
  <si>
    <t>Time</t>
  </si>
  <si>
    <t>Annualised Return</t>
  </si>
  <si>
    <t>Beta</t>
  </si>
  <si>
    <t xml:space="preserve">Risk Free Rate </t>
  </si>
  <si>
    <t>Expected  Return</t>
  </si>
  <si>
    <t>Risk</t>
  </si>
  <si>
    <t>Jensen Alpha</t>
  </si>
  <si>
    <t>Sharpe Ratio</t>
  </si>
  <si>
    <t>Treynor Ratio</t>
  </si>
  <si>
    <t>Comparative Analysis of Mutual Fund Schemes</t>
  </si>
  <si>
    <t>Category: Contra Funds | Benchmark: Nifty 50 | Period: 5 Years | Risk-Free Rate: 6.98%</t>
  </si>
  <si>
    <t>Parameter</t>
  </si>
  <si>
    <t>Risk (Std. Dev., Annualised)</t>
  </si>
  <si>
    <t>Expected Return (CAPM)</t>
  </si>
  <si>
    <t>Jensen's Alpha</t>
  </si>
  <si>
    <t>Best Performing Scheme (by Sharpe Ratio)</t>
  </si>
  <si>
    <t>Calculation of Mutual Fund Schemes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</si>
</sst>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0000"/>
    <numFmt numFmtId="166" formatCode="0.0000000"/>
    <numFmt numFmtId="167" formatCode="0.000"/>
    <numFmt numFmtId="168" formatCode="0.00000"/>
  </numFmts>
  <fonts count="15" x14ac:knownFonts="1">
    <font>
      <sz val="11"/>
      <color theme="1"/>
      <name val="Arial Narrow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name val="Arial Narrow"/>
      <family val="2"/>
      <charset val="1"/>
    </font>
    <font>
      <b/>
      <sz val="11"/>
      <color theme="1"/>
      <name val="Arial Narrow"/>
      <family val="2"/>
      <charset val="1"/>
    </font>
    <font>
      <sz val="11"/>
      <name val="Arial"/>
      <family val="2"/>
      <charset val="1"/>
    </font>
    <font>
      <b/>
      <sz val="14"/>
      <name val="Arial Narrow"/>
      <family val="2"/>
    </font>
    <font>
      <i/>
      <sz val="10"/>
      <name val="Arial Narrow"/>
      <family val="2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i/>
      <sz val="9"/>
      <color rgb="FF808080"/>
      <name val="Arial Narrow"/>
      <family val="2"/>
    </font>
    <font>
      <sz val="11"/>
      <color theme="1"/>
      <name val="Arial Narrow"/>
      <family val="2"/>
      <charset val="1"/>
    </font>
    <font>
      <b/>
      <sz val="15"/>
      <color theme="3"/>
      <name val="Arial Narrow"/>
      <family val="2"/>
    </font>
    <font>
      <b/>
      <sz val="15"/>
      <color theme="4" tint="-0.249977111117893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8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3" fillId="0" borderId="3" applyNumberFormat="0" applyFill="0" applyAlignment="0" applyProtection="0"/>
    <xf numFmtId="9" fontId="12" fillId="0" borderId="0"/>
    <xf numFmtId="0" fontId="2" fillId="0" borderId="0"/>
  </cellStyleXfs>
  <cellXfs count="56">
    <xf numFmtId="0" fontId="0" fillId="0" borderId="0" xfId="0"/>
    <xf numFmtId="0" fontId="0" fillId="0" borderId="1" xfId="0" applyBorder="1"/>
    <xf numFmtId="4" fontId="0" fillId="0" borderId="1" xfId="0" applyNumberFormat="1" applyBorder="1"/>
    <xf numFmtId="164" fontId="5" fillId="0" borderId="1" xfId="0" applyNumberFormat="1" applyFont="1" applyBorder="1"/>
    <xf numFmtId="10" fontId="12" fillId="0" borderId="1" xfId="2" applyNumberFormat="1" applyBorder="1"/>
    <xf numFmtId="164" fontId="5" fillId="0" borderId="1" xfId="3" applyNumberFormat="1" applyFont="1" applyBorder="1"/>
    <xf numFmtId="15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9" fontId="12" fillId="0" borderId="0" xfId="2"/>
    <xf numFmtId="165" fontId="0" fillId="0" borderId="0" xfId="0" applyNumberFormat="1"/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0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9" fillId="7" borderId="2" xfId="0" applyFont="1" applyFill="1" applyBorder="1"/>
    <xf numFmtId="0" fontId="0" fillId="12" borderId="0" xfId="0" applyFill="1"/>
    <xf numFmtId="0" fontId="4" fillId="13" borderId="0" xfId="0" applyFont="1" applyFill="1"/>
    <xf numFmtId="166" fontId="4" fillId="13" borderId="0" xfId="0" applyNumberFormat="1" applyFont="1" applyFill="1"/>
    <xf numFmtId="9" fontId="4" fillId="13" borderId="0" xfId="0" applyNumberFormat="1" applyFont="1" applyFill="1"/>
    <xf numFmtId="167" fontId="4" fillId="13" borderId="0" xfId="0" applyNumberFormat="1" applyFont="1" applyFill="1"/>
    <xf numFmtId="10" fontId="4" fillId="13" borderId="0" xfId="0" applyNumberFormat="1" applyFont="1" applyFill="1"/>
    <xf numFmtId="168" fontId="4" fillId="13" borderId="0" xfId="0" applyNumberFormat="1" applyFont="1" applyFill="1"/>
    <xf numFmtId="2" fontId="4" fillId="13" borderId="0" xfId="0" applyNumberFormat="1" applyFont="1" applyFill="1"/>
    <xf numFmtId="0" fontId="4" fillId="14" borderId="0" xfId="0" applyFont="1" applyFill="1"/>
    <xf numFmtId="166" fontId="4" fillId="14" borderId="0" xfId="0" applyNumberFormat="1" applyFont="1" applyFill="1"/>
    <xf numFmtId="9" fontId="4" fillId="14" borderId="0" xfId="0" applyNumberFormat="1" applyFont="1" applyFill="1"/>
    <xf numFmtId="167" fontId="4" fillId="14" borderId="0" xfId="0" applyNumberFormat="1" applyFont="1" applyFill="1"/>
    <xf numFmtId="10" fontId="4" fillId="14" borderId="0" xfId="0" applyNumberFormat="1" applyFont="1" applyFill="1"/>
    <xf numFmtId="168" fontId="4" fillId="14" borderId="0" xfId="0" applyNumberFormat="1" applyFont="1" applyFill="1"/>
    <xf numFmtId="2" fontId="4" fillId="14" borderId="0" xfId="0" applyNumberFormat="1" applyFont="1" applyFill="1"/>
    <xf numFmtId="0" fontId="4" fillId="15" borderId="0" xfId="0" applyFont="1" applyFill="1"/>
    <xf numFmtId="166" fontId="4" fillId="15" borderId="0" xfId="0" applyNumberFormat="1" applyFont="1" applyFill="1"/>
    <xf numFmtId="9" fontId="4" fillId="15" borderId="0" xfId="0" applyNumberFormat="1" applyFont="1" applyFill="1"/>
    <xf numFmtId="0" fontId="4" fillId="12" borderId="0" xfId="0" applyFont="1" applyFill="1" applyAlignment="1">
      <alignment horizontal="center"/>
    </xf>
    <xf numFmtId="0" fontId="4" fillId="16" borderId="0" xfId="0" applyFont="1" applyFill="1"/>
    <xf numFmtId="166" fontId="4" fillId="16" borderId="0" xfId="0" applyNumberFormat="1" applyFont="1" applyFill="1"/>
    <xf numFmtId="9" fontId="4" fillId="16" borderId="0" xfId="0" applyNumberFormat="1" applyFont="1" applyFill="1"/>
    <xf numFmtId="167" fontId="4" fillId="16" borderId="0" xfId="0" applyNumberFormat="1" applyFont="1" applyFill="1"/>
    <xf numFmtId="10" fontId="4" fillId="16" borderId="0" xfId="0" applyNumberFormat="1" applyFont="1" applyFill="1"/>
    <xf numFmtId="168" fontId="4" fillId="16" borderId="0" xfId="0" applyNumberFormat="1" applyFont="1" applyFill="1"/>
    <xf numFmtId="2" fontId="4" fillId="16" borderId="0" xfId="0" applyNumberFormat="1" applyFont="1" applyFill="1"/>
    <xf numFmtId="0" fontId="3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14" fillId="12" borderId="3" xfId="1" applyFont="1" applyFill="1"/>
    <xf numFmtId="0" fontId="4" fillId="11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9" fillId="8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</cellXfs>
  <cellStyles count="4">
    <cellStyle name="Heading 1" xfId="1" builtinId="16"/>
    <cellStyle name="Normal" xfId="0" builtinId="0"/>
    <cellStyle name="Normal 2" xfId="3" xr:uid="{00000000-0005-0000-0000-000006000000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jval\Downloads\PM_Comparative_Analysis2.xlsx" TargetMode="External"/><Relationship Id="rId1" Type="http://schemas.openxmlformats.org/officeDocument/2006/relationships/externalLinkPath" Target="file:///C:\Users\Prajval\Downloads\PM_Comparative_Analysi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"/>
      <sheetName val="Calcualtions"/>
      <sheetName val="Comparative Summary"/>
    </sheetNames>
    <sheetDataSet>
      <sheetData sheetId="0"/>
      <sheetData sheetId="1"/>
      <sheetData sheetId="2">
        <row r="4">
          <cell r="B4" t="str">
            <v>SBI Contra Fund</v>
          </cell>
          <cell r="C4" t="str">
            <v>Invesco India Contra Fund</v>
          </cell>
          <cell r="D4" t="str">
            <v>Kotak Contra Fund</v>
          </cell>
        </row>
        <row r="5">
          <cell r="B5">
            <v>0.23803549076234143</v>
          </cell>
          <cell r="C5">
            <v>0.18743659087525935</v>
          </cell>
          <cell r="D5">
            <v>0.21195605040972942</v>
          </cell>
        </row>
        <row r="6">
          <cell r="B6">
            <v>0.45305028713263912</v>
          </cell>
          <cell r="C6">
            <v>0.4530727352135796</v>
          </cell>
          <cell r="D6">
            <v>0.45306877101043419</v>
          </cell>
        </row>
        <row r="10">
          <cell r="B10">
            <v>0.37133955223184151</v>
          </cell>
          <cell r="C10">
            <v>0.25964173460979761</v>
          </cell>
          <cell r="D10">
            <v>0.31376263275152011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4"/>
  <sheetViews>
    <sheetView zoomScaleNormal="100" workbookViewId="0">
      <selection activeCell="I1" sqref="I1:K1"/>
    </sheetView>
  </sheetViews>
  <sheetFormatPr defaultColWidth="8.75" defaultRowHeight="13.8" x14ac:dyDescent="0.25"/>
  <cols>
    <col min="1" max="1" width="12.625" customWidth="1"/>
    <col min="2" max="2" width="10.375" customWidth="1"/>
    <col min="5" max="5" width="12.625" customWidth="1"/>
    <col min="9" max="9" width="12.625" customWidth="1"/>
    <col min="13" max="13" width="12.625" customWidth="1"/>
  </cols>
  <sheetData>
    <row r="1" spans="1:15" x14ac:dyDescent="0.25">
      <c r="A1" s="51" t="s">
        <v>0</v>
      </c>
      <c r="B1" s="51"/>
      <c r="C1" s="51"/>
      <c r="E1" s="52" t="s">
        <v>1</v>
      </c>
      <c r="F1" s="52"/>
      <c r="G1" s="52"/>
      <c r="I1" s="53" t="s">
        <v>2</v>
      </c>
      <c r="J1" s="53"/>
      <c r="K1" s="53"/>
      <c r="M1" s="54" t="s">
        <v>3</v>
      </c>
      <c r="N1" s="54"/>
      <c r="O1" s="54"/>
    </row>
    <row r="2" spans="1:15" x14ac:dyDescent="0.25">
      <c r="A2" s="1" t="s">
        <v>4</v>
      </c>
      <c r="B2" s="1" t="s">
        <v>5</v>
      </c>
      <c r="C2" s="1" t="s">
        <v>6</v>
      </c>
      <c r="E2" s="1" t="s">
        <v>4</v>
      </c>
      <c r="F2" s="1" t="s">
        <v>5</v>
      </c>
      <c r="G2" s="1" t="s">
        <v>6</v>
      </c>
      <c r="I2" s="1" t="s">
        <v>4</v>
      </c>
      <c r="J2" s="1" t="s">
        <v>5</v>
      </c>
      <c r="K2" s="1" t="s">
        <v>6</v>
      </c>
      <c r="M2" s="1" t="s">
        <v>4</v>
      </c>
      <c r="N2" s="2" t="s">
        <v>5</v>
      </c>
      <c r="O2" s="1" t="s">
        <v>6</v>
      </c>
    </row>
    <row r="3" spans="1:15" x14ac:dyDescent="0.25">
      <c r="A3" s="3">
        <v>46023</v>
      </c>
      <c r="B3" s="1">
        <v>437.108</v>
      </c>
      <c r="C3" s="4">
        <f t="shared" ref="C3:C66" si="0">(B3/B4)-1</f>
        <v>-3.3390203405803121E-4</v>
      </c>
      <c r="E3" s="3">
        <v>46023</v>
      </c>
      <c r="F3" s="1">
        <v>163.59</v>
      </c>
      <c r="G3" s="4">
        <f t="shared" ref="G3:G66" si="1">(F3/F4)-1</f>
        <v>4.7908605122535253E-3</v>
      </c>
      <c r="I3" s="3">
        <v>46023</v>
      </c>
      <c r="J3" s="1">
        <v>186.863</v>
      </c>
      <c r="K3" s="4">
        <f t="shared" ref="K3:K66" si="2">(J3/J4)-1</f>
        <v>3.8302444265376767E-3</v>
      </c>
      <c r="M3" s="5">
        <v>46023</v>
      </c>
      <c r="N3" s="2">
        <v>26146.55</v>
      </c>
      <c r="O3" s="4">
        <f t="shared" ref="O3:O66" si="3">(N3/N4)-1</f>
        <v>6.4868960871966586E-4</v>
      </c>
    </row>
    <row r="4" spans="1:15" x14ac:dyDescent="0.25">
      <c r="A4" s="3">
        <v>46022</v>
      </c>
      <c r="B4" s="1">
        <v>437.25400000000002</v>
      </c>
      <c r="C4" s="4">
        <f t="shared" si="0"/>
        <v>8.1388163901467969E-3</v>
      </c>
      <c r="E4" s="3">
        <v>46022</v>
      </c>
      <c r="F4" s="1">
        <v>162.81</v>
      </c>
      <c r="G4" s="4">
        <f t="shared" si="1"/>
        <v>9.2988655384043106E-3</v>
      </c>
      <c r="I4" s="3">
        <v>46022</v>
      </c>
      <c r="J4" s="1">
        <v>186.15</v>
      </c>
      <c r="K4" s="4">
        <f t="shared" si="2"/>
        <v>8.2818314276273952E-3</v>
      </c>
      <c r="M4" s="5">
        <v>46022</v>
      </c>
      <c r="N4" s="2">
        <v>26129.599999999999</v>
      </c>
      <c r="O4" s="4">
        <f t="shared" si="3"/>
        <v>7.3538341136942798E-3</v>
      </c>
    </row>
    <row r="5" spans="1:15" x14ac:dyDescent="0.25">
      <c r="A5" s="3">
        <v>46021</v>
      </c>
      <c r="B5" s="1">
        <v>433.72399999999999</v>
      </c>
      <c r="C5" s="4">
        <f t="shared" si="0"/>
        <v>1.1772472727105132E-3</v>
      </c>
      <c r="E5" s="3">
        <v>46021</v>
      </c>
      <c r="F5" s="1">
        <v>161.31</v>
      </c>
      <c r="G5" s="4">
        <f t="shared" si="1"/>
        <v>-5.5762081784394013E-4</v>
      </c>
      <c r="I5" s="3">
        <v>46021</v>
      </c>
      <c r="J5" s="1">
        <v>184.62100000000001</v>
      </c>
      <c r="K5" s="4">
        <f t="shared" si="2"/>
        <v>9.6506779872362891E-4</v>
      </c>
      <c r="M5" s="5">
        <v>46021</v>
      </c>
      <c r="N5" s="2">
        <v>25938.85</v>
      </c>
      <c r="O5" s="4">
        <f t="shared" si="3"/>
        <v>-1.2527898666647719E-4</v>
      </c>
    </row>
    <row r="6" spans="1:15" x14ac:dyDescent="0.25">
      <c r="A6" s="3">
        <v>46020</v>
      </c>
      <c r="B6" s="1">
        <v>433.214</v>
      </c>
      <c r="C6" s="4">
        <f t="shared" si="0"/>
        <v>-3.01938203927965E-3</v>
      </c>
      <c r="E6" s="3">
        <v>46020</v>
      </c>
      <c r="F6" s="1">
        <v>161.4</v>
      </c>
      <c r="G6" s="4">
        <f t="shared" si="1"/>
        <v>-4.2568943179714935E-3</v>
      </c>
      <c r="I6" s="3">
        <v>46020</v>
      </c>
      <c r="J6" s="1">
        <v>184.44300000000001</v>
      </c>
      <c r="K6" s="4">
        <f t="shared" si="2"/>
        <v>-3.0862529322105425E-3</v>
      </c>
      <c r="M6" s="5">
        <v>46020</v>
      </c>
      <c r="N6" s="2">
        <v>25942.1</v>
      </c>
      <c r="O6" s="4">
        <f t="shared" si="3"/>
        <v>-3.8475864266981352E-3</v>
      </c>
    </row>
    <row r="7" spans="1:15" x14ac:dyDescent="0.25">
      <c r="A7" s="3">
        <v>46017</v>
      </c>
      <c r="B7" s="1">
        <v>434.52600000000001</v>
      </c>
      <c r="C7" s="4">
        <f t="shared" si="0"/>
        <v>-1.7001098179044716E-3</v>
      </c>
      <c r="E7" s="3">
        <v>46017</v>
      </c>
      <c r="F7" s="1">
        <v>162.09</v>
      </c>
      <c r="G7" s="4">
        <f t="shared" si="1"/>
        <v>-4.3611793611794125E-3</v>
      </c>
      <c r="I7" s="3">
        <v>46017</v>
      </c>
      <c r="J7" s="1">
        <v>185.01400000000001</v>
      </c>
      <c r="K7" s="4">
        <f t="shared" si="2"/>
        <v>-4.3428891244799983E-3</v>
      </c>
      <c r="M7" s="5">
        <v>46017</v>
      </c>
      <c r="N7" s="2">
        <v>26042.3</v>
      </c>
      <c r="O7" s="4">
        <f t="shared" si="3"/>
        <v>-3.8175969030797008E-3</v>
      </c>
    </row>
    <row r="8" spans="1:15" x14ac:dyDescent="0.25">
      <c r="A8" s="3">
        <v>46015</v>
      </c>
      <c r="B8" s="1">
        <v>435.26600000000002</v>
      </c>
      <c r="C8" s="4">
        <f t="shared" si="0"/>
        <v>-2.6305297263606864E-3</v>
      </c>
      <c r="E8" s="3">
        <v>46015</v>
      </c>
      <c r="F8" s="1">
        <v>162.80000000000001</v>
      </c>
      <c r="G8" s="4">
        <f t="shared" si="1"/>
        <v>-2.0229265003370855E-3</v>
      </c>
      <c r="I8" s="3">
        <v>46015</v>
      </c>
      <c r="J8" s="1">
        <v>185.821</v>
      </c>
      <c r="K8" s="4">
        <f t="shared" si="2"/>
        <v>-2.0445606615770995E-4</v>
      </c>
      <c r="M8" s="5">
        <v>46015</v>
      </c>
      <c r="N8" s="2">
        <v>26142.1</v>
      </c>
      <c r="O8" s="4">
        <f t="shared" si="3"/>
        <v>-1.3389540114184806E-3</v>
      </c>
    </row>
    <row r="9" spans="1:15" x14ac:dyDescent="0.25">
      <c r="A9" s="3">
        <v>46014</v>
      </c>
      <c r="B9" s="1">
        <v>436.41399999999999</v>
      </c>
      <c r="C9" s="4">
        <f t="shared" si="0"/>
        <v>1.567480854013148E-3</v>
      </c>
      <c r="E9" s="3">
        <v>46014</v>
      </c>
      <c r="F9" s="1">
        <v>163.13</v>
      </c>
      <c r="G9" s="4">
        <f t="shared" si="1"/>
        <v>-3.6766958759726354E-4</v>
      </c>
      <c r="I9" s="3">
        <v>46014</v>
      </c>
      <c r="J9" s="1">
        <v>185.85900000000001</v>
      </c>
      <c r="K9" s="4">
        <f t="shared" si="2"/>
        <v>1.9299087336457355E-3</v>
      </c>
      <c r="M9" s="5">
        <v>46014</v>
      </c>
      <c r="N9" s="2">
        <v>26177.15</v>
      </c>
      <c r="O9" s="4">
        <f t="shared" si="3"/>
        <v>1.8148889670044355E-4</v>
      </c>
    </row>
    <row r="10" spans="1:15" x14ac:dyDescent="0.25">
      <c r="A10" s="3">
        <v>46013</v>
      </c>
      <c r="B10" s="1">
        <v>435.73099999999999</v>
      </c>
      <c r="C10" s="4">
        <f t="shared" si="0"/>
        <v>6.9862355214138638E-3</v>
      </c>
      <c r="E10" s="3">
        <v>46013</v>
      </c>
      <c r="F10" s="1">
        <v>163.19</v>
      </c>
      <c r="G10" s="4">
        <f t="shared" si="1"/>
        <v>7.7189082376187823E-3</v>
      </c>
      <c r="I10" s="3">
        <v>46013</v>
      </c>
      <c r="J10" s="1">
        <v>185.501</v>
      </c>
      <c r="K10" s="4">
        <f t="shared" si="2"/>
        <v>8.2233623931995403E-3</v>
      </c>
      <c r="M10" s="5">
        <v>46013</v>
      </c>
      <c r="N10" s="2">
        <v>26172.400000000001</v>
      </c>
      <c r="O10" s="4">
        <f t="shared" si="3"/>
        <v>7.9333292254606391E-3</v>
      </c>
    </row>
    <row r="11" spans="1:15" x14ac:dyDescent="0.25">
      <c r="A11" s="3">
        <v>46010</v>
      </c>
      <c r="B11" s="1">
        <v>432.70800000000003</v>
      </c>
      <c r="C11" s="4">
        <f t="shared" si="0"/>
        <v>7.2088470732827314E-3</v>
      </c>
      <c r="E11" s="3">
        <v>46010</v>
      </c>
      <c r="F11" s="1">
        <v>161.94</v>
      </c>
      <c r="G11" s="4">
        <f t="shared" si="1"/>
        <v>9.2863820504831551E-3</v>
      </c>
      <c r="I11" s="3">
        <v>46010</v>
      </c>
      <c r="J11" s="1">
        <v>183.988</v>
      </c>
      <c r="K11" s="4">
        <f t="shared" si="2"/>
        <v>9.5141944758414532E-3</v>
      </c>
      <c r="M11" s="5">
        <v>46010</v>
      </c>
      <c r="N11" s="2">
        <v>25966.400000000001</v>
      </c>
      <c r="O11" s="4">
        <f t="shared" si="3"/>
        <v>5.8433773442752024E-3</v>
      </c>
    </row>
    <row r="12" spans="1:15" x14ac:dyDescent="0.25">
      <c r="A12" s="3">
        <v>46009</v>
      </c>
      <c r="B12" s="1">
        <v>429.61099999999999</v>
      </c>
      <c r="C12" s="4">
        <f t="shared" si="0"/>
        <v>-1.9781426869236451E-4</v>
      </c>
      <c r="E12" s="3">
        <v>46009</v>
      </c>
      <c r="F12" s="1">
        <v>160.44999999999999</v>
      </c>
      <c r="G12" s="4">
        <f t="shared" si="1"/>
        <v>6.2363579669466596E-4</v>
      </c>
      <c r="I12" s="3">
        <v>46009</v>
      </c>
      <c r="J12" s="1">
        <v>182.25399999999999</v>
      </c>
      <c r="K12" s="4">
        <f t="shared" si="2"/>
        <v>1.1700660840139321E-3</v>
      </c>
      <c r="M12" s="5">
        <v>46009</v>
      </c>
      <c r="N12" s="2">
        <v>25815.55</v>
      </c>
      <c r="O12" s="4">
        <f t="shared" si="3"/>
        <v>-1.1619552608488348E-4</v>
      </c>
    </row>
    <row r="13" spans="1:15" x14ac:dyDescent="0.25">
      <c r="A13" s="3">
        <v>46008</v>
      </c>
      <c r="B13" s="1">
        <v>429.69600000000003</v>
      </c>
      <c r="C13" s="4">
        <f t="shared" si="0"/>
        <v>-1.7980347062512836E-3</v>
      </c>
      <c r="E13" s="3">
        <v>46008</v>
      </c>
      <c r="F13" s="1">
        <v>160.35</v>
      </c>
      <c r="G13" s="4">
        <f t="shared" si="1"/>
        <v>-4.5319096101317236E-3</v>
      </c>
      <c r="I13" s="3">
        <v>46008</v>
      </c>
      <c r="J13" s="1">
        <v>182.041</v>
      </c>
      <c r="K13" s="4">
        <f t="shared" si="2"/>
        <v>-3.301504566260105E-3</v>
      </c>
      <c r="M13" s="5">
        <v>46008</v>
      </c>
      <c r="N13" s="2">
        <v>25818.55</v>
      </c>
      <c r="O13" s="4">
        <f t="shared" si="3"/>
        <v>-1.6067223251263751E-3</v>
      </c>
    </row>
    <row r="14" spans="1:15" x14ac:dyDescent="0.25">
      <c r="A14" s="3">
        <v>46007</v>
      </c>
      <c r="B14" s="1">
        <v>430.47</v>
      </c>
      <c r="C14" s="4">
        <f t="shared" si="0"/>
        <v>-6.104628342653351E-3</v>
      </c>
      <c r="E14" s="3">
        <v>46007</v>
      </c>
      <c r="F14" s="1">
        <v>161.08000000000001</v>
      </c>
      <c r="G14" s="4">
        <f t="shared" si="1"/>
        <v>-7.7003634571551904E-3</v>
      </c>
      <c r="I14" s="3">
        <v>46007</v>
      </c>
      <c r="J14" s="1">
        <v>182.64400000000001</v>
      </c>
      <c r="K14" s="4">
        <f t="shared" si="2"/>
        <v>-6.613727836397354E-3</v>
      </c>
      <c r="M14" s="5">
        <v>46007</v>
      </c>
      <c r="N14" s="2">
        <v>25860.1</v>
      </c>
      <c r="O14" s="4">
        <f t="shared" si="3"/>
        <v>-6.4240240055634112E-3</v>
      </c>
    </row>
    <row r="15" spans="1:15" x14ac:dyDescent="0.25">
      <c r="A15" s="3">
        <v>46006</v>
      </c>
      <c r="B15" s="1">
        <v>433.11399999999998</v>
      </c>
      <c r="C15" s="4">
        <f t="shared" si="0"/>
        <v>4.8740710967565271E-4</v>
      </c>
      <c r="E15" s="3">
        <v>46006</v>
      </c>
      <c r="F15" s="1">
        <v>162.33000000000001</v>
      </c>
      <c r="G15" s="4">
        <f t="shared" si="1"/>
        <v>1.7278617710583255E-3</v>
      </c>
      <c r="I15" s="3">
        <v>46006</v>
      </c>
      <c r="J15" s="1">
        <v>183.86</v>
      </c>
      <c r="K15" s="4">
        <f t="shared" si="2"/>
        <v>-1.7049094877669146E-3</v>
      </c>
      <c r="M15" s="5">
        <v>46006</v>
      </c>
      <c r="N15" s="2">
        <v>26027.3</v>
      </c>
      <c r="O15" s="4">
        <f t="shared" si="3"/>
        <v>-7.5440694591888402E-4</v>
      </c>
    </row>
    <row r="16" spans="1:15" x14ac:dyDescent="0.25">
      <c r="A16" s="3">
        <v>46003</v>
      </c>
      <c r="B16" s="1">
        <v>432.90300000000002</v>
      </c>
      <c r="C16" s="4">
        <f t="shared" si="0"/>
        <v>5.3483511379470716E-3</v>
      </c>
      <c r="E16" s="3">
        <v>46003</v>
      </c>
      <c r="F16" s="1">
        <v>162.05000000000001</v>
      </c>
      <c r="G16" s="4">
        <f t="shared" si="1"/>
        <v>6.084311169056944E-3</v>
      </c>
      <c r="I16" s="3">
        <v>46003</v>
      </c>
      <c r="J16" s="1">
        <v>184.17400000000001</v>
      </c>
      <c r="K16" s="4">
        <f t="shared" si="2"/>
        <v>8.6475533284045003E-3</v>
      </c>
      <c r="M16" s="5">
        <v>46003</v>
      </c>
      <c r="N16" s="2">
        <v>26046.95</v>
      </c>
      <c r="O16" s="4">
        <f t="shared" si="3"/>
        <v>5.7300505240640565E-3</v>
      </c>
    </row>
    <row r="17" spans="1:15" x14ac:dyDescent="0.25">
      <c r="A17" s="3">
        <v>46002</v>
      </c>
      <c r="B17" s="1">
        <v>430.6</v>
      </c>
      <c r="C17" s="4">
        <f t="shared" si="0"/>
        <v>5.5978122525999208E-3</v>
      </c>
      <c r="E17" s="3">
        <v>46002</v>
      </c>
      <c r="F17" s="1">
        <v>161.07</v>
      </c>
      <c r="G17" s="4">
        <f t="shared" si="1"/>
        <v>6.8762893042444428E-3</v>
      </c>
      <c r="I17" s="3">
        <v>46002</v>
      </c>
      <c r="J17" s="1">
        <v>182.595</v>
      </c>
      <c r="K17" s="4">
        <f t="shared" si="2"/>
        <v>5.3849584565321962E-3</v>
      </c>
      <c r="M17" s="5">
        <v>46002</v>
      </c>
      <c r="N17" s="2">
        <v>25898.55</v>
      </c>
      <c r="O17" s="4">
        <f t="shared" si="3"/>
        <v>5.4565571861169282E-3</v>
      </c>
    </row>
    <row r="18" spans="1:15" x14ac:dyDescent="0.25">
      <c r="A18" s="3">
        <v>46001</v>
      </c>
      <c r="B18" s="1">
        <v>428.20299999999997</v>
      </c>
      <c r="C18" s="4">
        <f t="shared" si="0"/>
        <v>-2.544873830292449E-4</v>
      </c>
      <c r="E18" s="3">
        <v>46001</v>
      </c>
      <c r="F18" s="1">
        <v>159.97</v>
      </c>
      <c r="G18" s="4">
        <f t="shared" si="1"/>
        <v>-7.2607670348764364E-3</v>
      </c>
      <c r="I18" s="3">
        <v>46001</v>
      </c>
      <c r="J18" s="1">
        <v>181.61699999999999</v>
      </c>
      <c r="K18" s="4">
        <f t="shared" si="2"/>
        <v>-3.7301765799766518E-3</v>
      </c>
      <c r="M18" s="5">
        <v>46001</v>
      </c>
      <c r="N18" s="2">
        <v>25758</v>
      </c>
      <c r="O18" s="4">
        <f t="shared" si="3"/>
        <v>-3.15987252149319E-3</v>
      </c>
    </row>
    <row r="19" spans="1:15" x14ac:dyDescent="0.25">
      <c r="A19" s="3">
        <v>46000</v>
      </c>
      <c r="B19" s="1">
        <v>428.31200000000001</v>
      </c>
      <c r="C19" s="4">
        <f t="shared" si="0"/>
        <v>-1.5920931479387335E-3</v>
      </c>
      <c r="E19" s="3">
        <v>46000</v>
      </c>
      <c r="F19" s="1">
        <v>161.13999999999999</v>
      </c>
      <c r="G19" s="4">
        <f t="shared" si="1"/>
        <v>-1.8613885958929099E-4</v>
      </c>
      <c r="I19" s="3">
        <v>46000</v>
      </c>
      <c r="J19" s="1">
        <v>182.297</v>
      </c>
      <c r="K19" s="4">
        <f t="shared" si="2"/>
        <v>1.9787069150309922E-3</v>
      </c>
      <c r="M19" s="5">
        <v>46000</v>
      </c>
      <c r="N19" s="2">
        <v>25839.65</v>
      </c>
      <c r="O19" s="4">
        <f t="shared" si="3"/>
        <v>-4.6570662023723841E-3</v>
      </c>
    </row>
    <row r="20" spans="1:15" x14ac:dyDescent="0.25">
      <c r="A20" s="3">
        <v>45999</v>
      </c>
      <c r="B20" s="1">
        <v>428.995</v>
      </c>
      <c r="C20" s="4">
        <f t="shared" si="0"/>
        <v>-1.1201899252054281E-2</v>
      </c>
      <c r="E20" s="3">
        <v>45999</v>
      </c>
      <c r="F20" s="1">
        <v>161.16999999999999</v>
      </c>
      <c r="G20" s="4">
        <f t="shared" si="1"/>
        <v>-1.2257155114297924E-2</v>
      </c>
      <c r="I20" s="3">
        <v>45999</v>
      </c>
      <c r="J20" s="1">
        <v>181.93700000000001</v>
      </c>
      <c r="K20" s="4">
        <f t="shared" si="2"/>
        <v>-1.3415685615283168E-2</v>
      </c>
      <c r="M20" s="5">
        <v>45999</v>
      </c>
      <c r="N20" s="2">
        <v>25960.55</v>
      </c>
      <c r="O20" s="4">
        <f t="shared" si="3"/>
        <v>-8.626598870790092E-3</v>
      </c>
    </row>
    <row r="21" spans="1:15" x14ac:dyDescent="0.25">
      <c r="A21" s="3">
        <v>45996</v>
      </c>
      <c r="B21" s="1">
        <v>433.85500000000002</v>
      </c>
      <c r="C21" s="4">
        <f t="shared" si="0"/>
        <v>4.384655096177692E-3</v>
      </c>
      <c r="E21" s="3">
        <v>45996</v>
      </c>
      <c r="F21" s="1">
        <v>163.16999999999999</v>
      </c>
      <c r="G21" s="4">
        <f t="shared" si="1"/>
        <v>3.8142110119960826E-3</v>
      </c>
      <c r="I21" s="3">
        <v>45996</v>
      </c>
      <c r="J21" s="1">
        <v>184.411</v>
      </c>
      <c r="K21" s="4">
        <f t="shared" si="2"/>
        <v>3.9961454074273206E-3</v>
      </c>
      <c r="M21" s="5">
        <v>45996</v>
      </c>
      <c r="N21" s="2">
        <v>26186.45</v>
      </c>
      <c r="O21" s="4">
        <f t="shared" si="3"/>
        <v>5.8654631007826197E-3</v>
      </c>
    </row>
    <row r="22" spans="1:15" x14ac:dyDescent="0.25">
      <c r="A22" s="3">
        <v>45995</v>
      </c>
      <c r="B22" s="1">
        <v>431.96100000000001</v>
      </c>
      <c r="C22" s="4">
        <f t="shared" si="0"/>
        <v>-7.679976312362502E-4</v>
      </c>
      <c r="E22" s="3">
        <v>45995</v>
      </c>
      <c r="F22" s="1">
        <v>162.55000000000001</v>
      </c>
      <c r="G22" s="4">
        <f t="shared" si="1"/>
        <v>2.714206403059638E-3</v>
      </c>
      <c r="I22" s="3">
        <v>45995</v>
      </c>
      <c r="J22" s="1">
        <v>183.67699999999999</v>
      </c>
      <c r="K22" s="4">
        <f t="shared" si="2"/>
        <v>-3.156720276485947E-4</v>
      </c>
      <c r="M22" s="5">
        <v>45995</v>
      </c>
      <c r="N22" s="2">
        <v>26033.75</v>
      </c>
      <c r="O22" s="4">
        <f t="shared" si="3"/>
        <v>1.8375278996383138E-3</v>
      </c>
    </row>
    <row r="23" spans="1:15" x14ac:dyDescent="0.25">
      <c r="A23" s="3">
        <v>45994</v>
      </c>
      <c r="B23" s="1">
        <v>432.29300000000001</v>
      </c>
      <c r="C23" s="4">
        <f t="shared" si="0"/>
        <v>-2.0983282625657296E-3</v>
      </c>
      <c r="E23" s="3">
        <v>45994</v>
      </c>
      <c r="F23" s="1">
        <v>162.11000000000001</v>
      </c>
      <c r="G23" s="4">
        <f t="shared" si="1"/>
        <v>-4.849600982197666E-3</v>
      </c>
      <c r="I23" s="3">
        <v>45994</v>
      </c>
      <c r="J23" s="1">
        <v>183.73500000000001</v>
      </c>
      <c r="K23" s="4">
        <f t="shared" si="2"/>
        <v>-4.1463414634145268E-3</v>
      </c>
      <c r="M23" s="5">
        <v>45994</v>
      </c>
      <c r="N23" s="2">
        <v>25986</v>
      </c>
      <c r="O23" s="4">
        <f t="shared" si="3"/>
        <v>-1.7747251480858539E-3</v>
      </c>
    </row>
    <row r="24" spans="1:15" x14ac:dyDescent="0.25">
      <c r="A24" s="3">
        <v>45993</v>
      </c>
      <c r="B24" s="1">
        <v>433.202</v>
      </c>
      <c r="C24" s="4">
        <f t="shared" si="0"/>
        <v>-2.4156536196807687E-3</v>
      </c>
      <c r="E24" s="3">
        <v>45993</v>
      </c>
      <c r="F24" s="1">
        <v>162.9</v>
      </c>
      <c r="G24" s="4">
        <f t="shared" si="1"/>
        <v>-3.5478345975041847E-3</v>
      </c>
      <c r="I24" s="3">
        <v>45993</v>
      </c>
      <c r="J24" s="1">
        <v>184.5</v>
      </c>
      <c r="K24" s="4">
        <f t="shared" si="2"/>
        <v>-2.7889479828770991E-3</v>
      </c>
      <c r="M24" s="5">
        <v>45993</v>
      </c>
      <c r="N24" s="2">
        <v>26032.2</v>
      </c>
      <c r="O24" s="4">
        <f t="shared" si="3"/>
        <v>-5.4840835506145824E-3</v>
      </c>
    </row>
    <row r="25" spans="1:15" x14ac:dyDescent="0.25">
      <c r="A25" s="3">
        <v>45992</v>
      </c>
      <c r="B25" s="1">
        <v>434.25099999999998</v>
      </c>
      <c r="C25" s="4">
        <f t="shared" si="0"/>
        <v>-9.9152943991254183E-4</v>
      </c>
      <c r="E25" s="3">
        <v>45992</v>
      </c>
      <c r="F25" s="1">
        <v>163.47999999999999</v>
      </c>
      <c r="G25" s="4">
        <f t="shared" si="1"/>
        <v>-6.1132167746680288E-4</v>
      </c>
      <c r="I25" s="3">
        <v>45992</v>
      </c>
      <c r="J25" s="1">
        <v>185.01599999999999</v>
      </c>
      <c r="K25" s="4">
        <f t="shared" si="2"/>
        <v>-1.4591203125768892E-4</v>
      </c>
      <c r="M25" s="5">
        <v>45992</v>
      </c>
      <c r="N25" s="2">
        <v>26175.75</v>
      </c>
      <c r="O25" s="4">
        <f t="shared" si="3"/>
        <v>-1.0380510591364578E-3</v>
      </c>
    </row>
    <row r="26" spans="1:15" x14ac:dyDescent="0.25">
      <c r="A26" s="3">
        <v>45989</v>
      </c>
      <c r="B26" s="1">
        <v>434.68200000000002</v>
      </c>
      <c r="C26" s="4">
        <f t="shared" si="0"/>
        <v>2.0705219786032458E-5</v>
      </c>
      <c r="E26" s="3">
        <v>45989</v>
      </c>
      <c r="F26" s="1">
        <v>163.58000000000001</v>
      </c>
      <c r="G26" s="4">
        <f t="shared" si="1"/>
        <v>-3.055674387336671E-4</v>
      </c>
      <c r="I26" s="3">
        <v>45989</v>
      </c>
      <c r="J26" s="1">
        <v>185.04300000000001</v>
      </c>
      <c r="K26" s="4">
        <f t="shared" si="2"/>
        <v>-4.807380679731077E-4</v>
      </c>
      <c r="M26" s="5">
        <v>45989</v>
      </c>
      <c r="N26" s="2">
        <v>26202.95</v>
      </c>
      <c r="O26" s="4">
        <f t="shared" si="3"/>
        <v>-4.806307706685109E-4</v>
      </c>
    </row>
    <row r="27" spans="1:15" x14ac:dyDescent="0.25">
      <c r="A27" s="3">
        <v>45988</v>
      </c>
      <c r="B27" s="1">
        <v>434.673</v>
      </c>
      <c r="C27" s="4">
        <f t="shared" si="0"/>
        <v>-8.183362488477508E-4</v>
      </c>
      <c r="E27" s="3">
        <v>45988</v>
      </c>
      <c r="F27" s="1">
        <v>163.63</v>
      </c>
      <c r="G27" s="4">
        <f t="shared" si="1"/>
        <v>1.0400097883274118E-3</v>
      </c>
      <c r="I27" s="3">
        <v>45988</v>
      </c>
      <c r="J27" s="1">
        <v>185.13200000000001</v>
      </c>
      <c r="K27" s="4">
        <f t="shared" si="2"/>
        <v>-2.408677705990403E-3</v>
      </c>
      <c r="M27" s="5">
        <v>45988</v>
      </c>
      <c r="N27" s="2">
        <v>26215.55</v>
      </c>
      <c r="O27" s="4">
        <f t="shared" si="3"/>
        <v>3.9114224985015156E-4</v>
      </c>
    </row>
    <row r="28" spans="1:15" x14ac:dyDescent="0.25">
      <c r="A28" s="3">
        <v>45987</v>
      </c>
      <c r="B28" s="1">
        <v>435.029</v>
      </c>
      <c r="C28" s="4">
        <f t="shared" si="0"/>
        <v>-7.4422365298965065E-4</v>
      </c>
      <c r="E28" s="3">
        <v>45987</v>
      </c>
      <c r="F28" s="1">
        <v>163.46</v>
      </c>
      <c r="G28" s="4">
        <f t="shared" si="1"/>
        <v>1.2324270762370748E-2</v>
      </c>
      <c r="I28" s="3">
        <v>45987</v>
      </c>
      <c r="J28" s="1">
        <v>185.57900000000001</v>
      </c>
      <c r="K28" s="4">
        <f t="shared" si="2"/>
        <v>1.146198957901845E-2</v>
      </c>
      <c r="M28" s="5">
        <v>45987</v>
      </c>
      <c r="N28" s="2">
        <v>26205.3</v>
      </c>
      <c r="O28" s="4">
        <f t="shared" si="3"/>
        <v>1.238178390406719E-2</v>
      </c>
    </row>
    <row r="29" spans="1:15" x14ac:dyDescent="0.25">
      <c r="A29" s="3">
        <v>45986</v>
      </c>
      <c r="B29" s="1">
        <v>435.35300000000001</v>
      </c>
      <c r="C29" s="4">
        <f t="shared" si="0"/>
        <v>1.0301359435989532E-2</v>
      </c>
      <c r="E29" s="3">
        <v>45986</v>
      </c>
      <c r="F29" s="1">
        <v>161.47</v>
      </c>
      <c r="G29" s="4">
        <f t="shared" si="1"/>
        <v>6.1969387122751129E-4</v>
      </c>
      <c r="I29" s="3">
        <v>45986</v>
      </c>
      <c r="J29" s="1">
        <v>183.476</v>
      </c>
      <c r="K29" s="4">
        <f t="shared" si="2"/>
        <v>1.736205898732246E-3</v>
      </c>
      <c r="M29" s="5">
        <v>45986</v>
      </c>
      <c r="N29" s="2">
        <v>25884.799999999999</v>
      </c>
      <c r="O29" s="4">
        <f t="shared" si="3"/>
        <v>-2.8775592750245327E-3</v>
      </c>
    </row>
    <row r="30" spans="1:15" x14ac:dyDescent="0.25">
      <c r="A30" s="3">
        <v>45985</v>
      </c>
      <c r="B30" s="1">
        <v>430.91399999999999</v>
      </c>
      <c r="C30" s="4">
        <f t="shared" si="0"/>
        <v>-5.2650988887636974E-4</v>
      </c>
      <c r="E30" s="3">
        <v>45985</v>
      </c>
      <c r="F30" s="1">
        <v>161.37</v>
      </c>
      <c r="G30" s="4">
        <f t="shared" si="1"/>
        <v>-3.212057569954796E-3</v>
      </c>
      <c r="I30" s="3">
        <v>45985</v>
      </c>
      <c r="J30" s="1">
        <v>183.15799999999999</v>
      </c>
      <c r="K30" s="4">
        <f t="shared" si="2"/>
        <v>-2.3748052768609584E-3</v>
      </c>
      <c r="M30" s="5">
        <v>45985</v>
      </c>
      <c r="N30" s="2">
        <v>25959.5</v>
      </c>
      <c r="O30" s="4">
        <f t="shared" si="3"/>
        <v>-4.1679213906625767E-3</v>
      </c>
    </row>
    <row r="31" spans="1:15" x14ac:dyDescent="0.25">
      <c r="A31" s="3">
        <v>45982</v>
      </c>
      <c r="B31" s="1">
        <v>431.14100000000002</v>
      </c>
      <c r="C31" s="4">
        <f t="shared" si="0"/>
        <v>-1.805885798560336E-3</v>
      </c>
      <c r="E31" s="3">
        <v>45982</v>
      </c>
      <c r="F31" s="1">
        <v>161.88999999999999</v>
      </c>
      <c r="G31" s="4">
        <f t="shared" si="1"/>
        <v>-8.0877397218308555E-3</v>
      </c>
      <c r="I31" s="3">
        <v>45982</v>
      </c>
      <c r="J31" s="1">
        <v>183.59399999999999</v>
      </c>
      <c r="K31" s="4">
        <f t="shared" si="2"/>
        <v>-7.841335891269674E-3</v>
      </c>
      <c r="M31" s="5">
        <v>45982</v>
      </c>
      <c r="N31" s="2">
        <v>26068.15</v>
      </c>
      <c r="O31" s="4">
        <f t="shared" si="3"/>
        <v>-4.7342428933859759E-3</v>
      </c>
    </row>
    <row r="32" spans="1:15" x14ac:dyDescent="0.25">
      <c r="A32" s="3">
        <v>45981</v>
      </c>
      <c r="B32" s="1">
        <v>431.92099999999999</v>
      </c>
      <c r="C32" s="4">
        <f t="shared" si="0"/>
        <v>-4.9278901534349773E-3</v>
      </c>
      <c r="E32" s="3">
        <v>45981</v>
      </c>
      <c r="F32" s="1">
        <v>163.21</v>
      </c>
      <c r="G32" s="4">
        <f t="shared" si="1"/>
        <v>2.2721690002456274E-3</v>
      </c>
      <c r="I32" s="3">
        <v>45981</v>
      </c>
      <c r="J32" s="1">
        <v>185.04499999999999</v>
      </c>
      <c r="K32" s="4">
        <f t="shared" si="2"/>
        <v>5.4061396359683656E-3</v>
      </c>
      <c r="M32" s="5">
        <v>45981</v>
      </c>
      <c r="N32" s="2">
        <v>26192.15</v>
      </c>
      <c r="O32" s="4">
        <f t="shared" si="3"/>
        <v>5.3545416685059077E-3</v>
      </c>
    </row>
    <row r="33" spans="1:15" x14ac:dyDescent="0.25">
      <c r="A33" s="3">
        <v>45980</v>
      </c>
      <c r="B33" s="1">
        <v>434.06</v>
      </c>
      <c r="C33" s="4">
        <f t="shared" si="0"/>
        <v>2.8301777813717344E-3</v>
      </c>
      <c r="E33" s="3">
        <v>45980</v>
      </c>
      <c r="F33" s="1">
        <v>162.84</v>
      </c>
      <c r="G33" s="4">
        <f t="shared" si="1"/>
        <v>4.4411547002221052E-3</v>
      </c>
      <c r="I33" s="3">
        <v>45980</v>
      </c>
      <c r="J33" s="1">
        <v>184.05</v>
      </c>
      <c r="K33" s="4">
        <f t="shared" si="2"/>
        <v>4.5903858434903633E-3</v>
      </c>
      <c r="M33" s="5">
        <v>45980</v>
      </c>
      <c r="N33" s="2">
        <v>26052.65</v>
      </c>
      <c r="O33" s="4">
        <f t="shared" si="3"/>
        <v>5.5036559172985111E-3</v>
      </c>
    </row>
    <row r="34" spans="1:15" x14ac:dyDescent="0.25">
      <c r="A34" s="3">
        <v>45979</v>
      </c>
      <c r="B34" s="1">
        <v>432.83499999999998</v>
      </c>
      <c r="C34" s="4">
        <f t="shared" si="0"/>
        <v>1.2167222981709358E-3</v>
      </c>
      <c r="E34" s="3">
        <v>45979</v>
      </c>
      <c r="F34" s="1">
        <v>162.12</v>
      </c>
      <c r="G34" s="4">
        <f t="shared" si="1"/>
        <v>-4.8493032962985128E-3</v>
      </c>
      <c r="I34" s="3">
        <v>45979</v>
      </c>
      <c r="J34" s="1">
        <v>183.209</v>
      </c>
      <c r="K34" s="4">
        <f t="shared" si="2"/>
        <v>-5.4772063533421456E-3</v>
      </c>
      <c r="M34" s="5">
        <v>45979</v>
      </c>
      <c r="N34" s="2">
        <v>25910.05</v>
      </c>
      <c r="O34" s="4">
        <f t="shared" si="3"/>
        <v>-3.9748668477268545E-3</v>
      </c>
    </row>
    <row r="35" spans="1:15" x14ac:dyDescent="0.25">
      <c r="A35" s="3">
        <v>45978</v>
      </c>
      <c r="B35" s="1">
        <v>432.30900000000003</v>
      </c>
      <c r="C35" s="4">
        <f t="shared" si="0"/>
        <v>-3.1199413368013795E-3</v>
      </c>
      <c r="E35" s="3">
        <v>45978</v>
      </c>
      <c r="F35" s="1">
        <v>162.91</v>
      </c>
      <c r="G35" s="4">
        <f t="shared" si="1"/>
        <v>5.1209279368211735E-3</v>
      </c>
      <c r="I35" s="3">
        <v>45978</v>
      </c>
      <c r="J35" s="1">
        <v>184.21799999999999</v>
      </c>
      <c r="K35" s="4">
        <f t="shared" si="2"/>
        <v>5.7434239979035073E-3</v>
      </c>
      <c r="M35" s="5">
        <v>45978</v>
      </c>
      <c r="N35" s="2">
        <v>26013.45</v>
      </c>
      <c r="O35" s="4">
        <f t="shared" si="3"/>
        <v>3.9907294659795589E-3</v>
      </c>
    </row>
    <row r="36" spans="1:15" x14ac:dyDescent="0.25">
      <c r="A36" s="3">
        <v>45975</v>
      </c>
      <c r="B36" s="1">
        <v>433.66199999999998</v>
      </c>
      <c r="C36" s="4">
        <f t="shared" si="0"/>
        <v>4.1726485435094052E-3</v>
      </c>
      <c r="E36" s="3">
        <v>45975</v>
      </c>
      <c r="F36" s="1">
        <v>162.08000000000001</v>
      </c>
      <c r="G36" s="4">
        <f t="shared" si="1"/>
        <v>-3.700505735781956E-4</v>
      </c>
      <c r="I36" s="3">
        <v>45975</v>
      </c>
      <c r="J36" s="1">
        <v>183.166</v>
      </c>
      <c r="K36" s="4">
        <f t="shared" si="2"/>
        <v>-3.8202100024009589E-4</v>
      </c>
      <c r="M36" s="5">
        <v>45975</v>
      </c>
      <c r="N36" s="2">
        <v>25910.05</v>
      </c>
      <c r="O36" s="4">
        <f t="shared" si="3"/>
        <v>1.194011395273753E-3</v>
      </c>
    </row>
    <row r="37" spans="1:15" x14ac:dyDescent="0.25">
      <c r="A37" s="3">
        <v>45974</v>
      </c>
      <c r="B37" s="1">
        <v>431.86</v>
      </c>
      <c r="C37" s="4">
        <f t="shared" si="0"/>
        <v>4.5405685903854298E-4</v>
      </c>
      <c r="E37" s="3">
        <v>45974</v>
      </c>
      <c r="F37" s="1">
        <v>162.13999999999999</v>
      </c>
      <c r="G37" s="4">
        <f t="shared" si="1"/>
        <v>-2.3995570048607195E-3</v>
      </c>
      <c r="I37" s="3">
        <v>45974</v>
      </c>
      <c r="J37" s="1">
        <v>183.23599999999999</v>
      </c>
      <c r="K37" s="4">
        <f t="shared" si="2"/>
        <v>-2.3683651746874146E-3</v>
      </c>
      <c r="M37" s="5">
        <v>45974</v>
      </c>
      <c r="N37" s="2">
        <v>25879.15</v>
      </c>
      <c r="O37" s="4">
        <f t="shared" si="3"/>
        <v>1.2946459626372864E-4</v>
      </c>
    </row>
    <row r="38" spans="1:15" x14ac:dyDescent="0.25">
      <c r="A38" s="3">
        <v>45973</v>
      </c>
      <c r="B38" s="1">
        <v>431.66399999999999</v>
      </c>
      <c r="C38" s="4">
        <f t="shared" si="0"/>
        <v>1.8072875394459231E-4</v>
      </c>
      <c r="E38" s="3">
        <v>45973</v>
      </c>
      <c r="F38" s="1">
        <v>162.53</v>
      </c>
      <c r="G38" s="4">
        <f t="shared" si="1"/>
        <v>5.6304912758322612E-3</v>
      </c>
      <c r="I38" s="3">
        <v>45973</v>
      </c>
      <c r="J38" s="1">
        <v>183.67099999999999</v>
      </c>
      <c r="K38" s="4">
        <f t="shared" si="2"/>
        <v>6.1187374694611218E-3</v>
      </c>
      <c r="M38" s="5">
        <v>45973</v>
      </c>
      <c r="N38" s="2">
        <v>25875.8</v>
      </c>
      <c r="O38" s="4">
        <f t="shared" si="3"/>
        <v>7.0383480022337963E-3</v>
      </c>
    </row>
    <row r="39" spans="1:15" x14ac:dyDescent="0.25">
      <c r="A39" s="3">
        <v>45972</v>
      </c>
      <c r="B39" s="1">
        <v>431.58600000000001</v>
      </c>
      <c r="C39" s="4">
        <f t="shared" si="0"/>
        <v>6.9856646880950279E-3</v>
      </c>
      <c r="E39" s="3">
        <v>45972</v>
      </c>
      <c r="F39" s="1">
        <v>161.62</v>
      </c>
      <c r="G39" s="4">
        <f t="shared" si="1"/>
        <v>4.162783473128373E-3</v>
      </c>
      <c r="I39" s="3">
        <v>45972</v>
      </c>
      <c r="J39" s="1">
        <v>182.554</v>
      </c>
      <c r="K39" s="4">
        <f t="shared" si="2"/>
        <v>3.3251075850924128E-3</v>
      </c>
      <c r="M39" s="5">
        <v>45972</v>
      </c>
      <c r="N39" s="2">
        <v>25694.95</v>
      </c>
      <c r="O39" s="4">
        <f t="shared" si="3"/>
        <v>4.7156623726507529E-3</v>
      </c>
    </row>
    <row r="40" spans="1:15" x14ac:dyDescent="0.25">
      <c r="A40" s="3">
        <v>45971</v>
      </c>
      <c r="B40" s="1">
        <v>428.59199999999998</v>
      </c>
      <c r="C40" s="4">
        <f t="shared" si="0"/>
        <v>3.0588483096760655E-3</v>
      </c>
      <c r="E40" s="3">
        <v>45971</v>
      </c>
      <c r="F40" s="1">
        <v>160.94999999999999</v>
      </c>
      <c r="G40" s="4">
        <f t="shared" si="1"/>
        <v>3.8044156168142162E-3</v>
      </c>
      <c r="I40" s="3">
        <v>45971</v>
      </c>
      <c r="J40" s="1">
        <v>181.94900000000001</v>
      </c>
      <c r="K40" s="4">
        <f t="shared" si="2"/>
        <v>1.49165006219798E-3</v>
      </c>
      <c r="M40" s="5">
        <v>45971</v>
      </c>
      <c r="N40" s="2">
        <v>25574.35</v>
      </c>
      <c r="O40" s="4">
        <f t="shared" si="3"/>
        <v>3.2186189555276634E-3</v>
      </c>
    </row>
    <row r="41" spans="1:15" x14ac:dyDescent="0.25">
      <c r="A41" s="3">
        <v>45968</v>
      </c>
      <c r="B41" s="1">
        <v>427.28500000000003</v>
      </c>
      <c r="C41" s="4">
        <f t="shared" si="0"/>
        <v>2.3223354719150713E-3</v>
      </c>
      <c r="E41" s="3">
        <v>45968</v>
      </c>
      <c r="F41" s="1">
        <v>160.34</v>
      </c>
      <c r="G41" s="4">
        <f t="shared" si="1"/>
        <v>3.7434489643128899E-4</v>
      </c>
      <c r="I41" s="3">
        <v>45968</v>
      </c>
      <c r="J41" s="1">
        <v>181.678</v>
      </c>
      <c r="K41" s="4">
        <f t="shared" si="2"/>
        <v>-2.1461943571610131E-4</v>
      </c>
      <c r="M41" s="5">
        <v>45968</v>
      </c>
      <c r="N41" s="2">
        <v>25492.3</v>
      </c>
      <c r="O41" s="4">
        <f t="shared" si="3"/>
        <v>-6.8209347816716726E-4</v>
      </c>
    </row>
    <row r="42" spans="1:15" x14ac:dyDescent="0.25">
      <c r="A42" s="3">
        <v>45967</v>
      </c>
      <c r="B42" s="1">
        <v>426.29500000000002</v>
      </c>
      <c r="C42" s="4">
        <f t="shared" si="0"/>
        <v>2.1820639039704659E-4</v>
      </c>
      <c r="E42" s="3">
        <v>45967</v>
      </c>
      <c r="F42" s="1">
        <v>160.28</v>
      </c>
      <c r="G42" s="4">
        <f t="shared" si="1"/>
        <v>-9.5779521720325E-3</v>
      </c>
      <c r="I42" s="3">
        <v>45967</v>
      </c>
      <c r="J42" s="1">
        <v>181.71700000000001</v>
      </c>
      <c r="K42" s="4">
        <f t="shared" si="2"/>
        <v>-7.1736873736545359E-3</v>
      </c>
      <c r="M42" s="5">
        <v>45967</v>
      </c>
      <c r="N42" s="2">
        <v>25509.7</v>
      </c>
      <c r="O42" s="4">
        <f t="shared" si="3"/>
        <v>-3.4358622764198987E-3</v>
      </c>
    </row>
    <row r="43" spans="1:15" x14ac:dyDescent="0.25">
      <c r="A43" s="3">
        <v>45965</v>
      </c>
      <c r="B43" s="1">
        <v>426.202</v>
      </c>
      <c r="C43" s="4">
        <f t="shared" si="0"/>
        <v>-4.4730762852210892E-3</v>
      </c>
      <c r="E43" s="3">
        <v>45965</v>
      </c>
      <c r="F43" s="1">
        <v>161.83000000000001</v>
      </c>
      <c r="G43" s="4">
        <f t="shared" si="1"/>
        <v>-5.2249815588886195E-3</v>
      </c>
      <c r="I43" s="3">
        <v>45965</v>
      </c>
      <c r="J43" s="1">
        <v>183.03</v>
      </c>
      <c r="K43" s="4">
        <f t="shared" si="2"/>
        <v>-3.934629638699727E-3</v>
      </c>
      <c r="M43" s="5">
        <v>45965</v>
      </c>
      <c r="N43" s="2">
        <v>25597.65</v>
      </c>
      <c r="O43" s="4">
        <f t="shared" si="3"/>
        <v>-6.4316170063286604E-3</v>
      </c>
    </row>
    <row r="44" spans="1:15" x14ac:dyDescent="0.25">
      <c r="A44" s="3">
        <v>45964</v>
      </c>
      <c r="B44" s="1">
        <v>428.11700000000002</v>
      </c>
      <c r="C44" s="4">
        <f t="shared" si="0"/>
        <v>-5.2558326498272079E-3</v>
      </c>
      <c r="E44" s="3">
        <v>45964</v>
      </c>
      <c r="F44" s="1">
        <v>162.68</v>
      </c>
      <c r="G44" s="4">
        <f t="shared" si="1"/>
        <v>6.1228276331251053E-3</v>
      </c>
      <c r="I44" s="3">
        <v>45964</v>
      </c>
      <c r="J44" s="1">
        <v>183.75299999999999</v>
      </c>
      <c r="K44" s="4">
        <f t="shared" si="2"/>
        <v>5.1418662786564262E-3</v>
      </c>
      <c r="M44" s="5">
        <v>45964</v>
      </c>
      <c r="N44" s="2">
        <v>25763.35</v>
      </c>
      <c r="O44" s="4">
        <f t="shared" si="3"/>
        <v>1.6036793263380922E-3</v>
      </c>
    </row>
    <row r="45" spans="1:15" x14ac:dyDescent="0.25">
      <c r="A45" s="3">
        <v>45961</v>
      </c>
      <c r="B45" s="1">
        <v>430.37900000000002</v>
      </c>
      <c r="C45" s="4">
        <f t="shared" si="0"/>
        <v>3.9211752795675903E-3</v>
      </c>
      <c r="E45" s="3">
        <v>45961</v>
      </c>
      <c r="F45" s="1">
        <v>161.69</v>
      </c>
      <c r="G45" s="4">
        <f t="shared" si="1"/>
        <v>-7.4887974955496484E-3</v>
      </c>
      <c r="I45" s="3">
        <v>45961</v>
      </c>
      <c r="J45" s="1">
        <v>182.81299999999999</v>
      </c>
      <c r="K45" s="4">
        <f t="shared" si="2"/>
        <v>-7.3142919200696044E-3</v>
      </c>
      <c r="M45" s="5">
        <v>45961</v>
      </c>
      <c r="N45" s="2">
        <v>25722.1</v>
      </c>
      <c r="O45" s="4">
        <f t="shared" si="3"/>
        <v>-6.0186607465457787E-3</v>
      </c>
    </row>
    <row r="46" spans="1:15" x14ac:dyDescent="0.25">
      <c r="A46" s="3">
        <v>45960</v>
      </c>
      <c r="B46" s="1">
        <v>428.69799999999998</v>
      </c>
      <c r="C46" s="4">
        <f t="shared" si="0"/>
        <v>-5.5556457655309144E-3</v>
      </c>
      <c r="E46" s="3">
        <v>45960</v>
      </c>
      <c r="F46" s="1">
        <v>162.91</v>
      </c>
      <c r="G46" s="4">
        <f t="shared" si="1"/>
        <v>-2.8767290978087834E-3</v>
      </c>
      <c r="I46" s="3">
        <v>45960</v>
      </c>
      <c r="J46" s="1">
        <v>184.16</v>
      </c>
      <c r="K46" s="4">
        <f t="shared" si="2"/>
        <v>-4.5782051489944298E-3</v>
      </c>
      <c r="M46" s="5">
        <v>45960</v>
      </c>
      <c r="N46" s="2">
        <v>25877.85</v>
      </c>
      <c r="O46" s="4">
        <f t="shared" si="3"/>
        <v>-6.7571457632064069E-3</v>
      </c>
    </row>
    <row r="47" spans="1:15" x14ac:dyDescent="0.25">
      <c r="A47" s="3">
        <v>45959</v>
      </c>
      <c r="B47" s="1">
        <v>431.09300000000002</v>
      </c>
      <c r="C47" s="4">
        <f t="shared" si="0"/>
        <v>-5.7107403896495823E-3</v>
      </c>
      <c r="E47" s="3">
        <v>45959</v>
      </c>
      <c r="F47" s="1">
        <v>163.38</v>
      </c>
      <c r="G47" s="4">
        <f t="shared" si="1"/>
        <v>4.3646646585111526E-3</v>
      </c>
      <c r="I47" s="3">
        <v>45959</v>
      </c>
      <c r="J47" s="1">
        <v>185.00700000000001</v>
      </c>
      <c r="K47" s="4">
        <f t="shared" si="2"/>
        <v>3.4822227646245096E-3</v>
      </c>
      <c r="M47" s="5">
        <v>45959</v>
      </c>
      <c r="N47" s="2">
        <v>26053.9</v>
      </c>
      <c r="O47" s="4">
        <f t="shared" si="3"/>
        <v>4.5380587749941359E-3</v>
      </c>
    </row>
    <row r="48" spans="1:15" x14ac:dyDescent="0.25">
      <c r="A48" s="3">
        <v>45958</v>
      </c>
      <c r="B48" s="1">
        <v>433.56900000000002</v>
      </c>
      <c r="C48" s="4">
        <f t="shared" si="0"/>
        <v>9.0791029352896846E-3</v>
      </c>
      <c r="E48" s="3">
        <v>45958</v>
      </c>
      <c r="F48" s="1">
        <v>162.66999999999999</v>
      </c>
      <c r="G48" s="4">
        <f t="shared" si="1"/>
        <v>-2.3917576352263659E-3</v>
      </c>
      <c r="I48" s="3">
        <v>45958</v>
      </c>
      <c r="J48" s="1">
        <v>184.36500000000001</v>
      </c>
      <c r="K48" s="4">
        <f t="shared" si="2"/>
        <v>-1.3558218992337778E-4</v>
      </c>
      <c r="M48" s="5">
        <v>45958</v>
      </c>
      <c r="N48" s="2">
        <v>25936.2</v>
      </c>
      <c r="O48" s="4">
        <f t="shared" si="3"/>
        <v>-1.1495780066663741E-3</v>
      </c>
    </row>
    <row r="49" spans="1:15" x14ac:dyDescent="0.25">
      <c r="A49" s="3">
        <v>45957</v>
      </c>
      <c r="B49" s="1">
        <v>429.66800000000001</v>
      </c>
      <c r="C49" s="4">
        <f t="shared" si="0"/>
        <v>-1.070479435159033E-4</v>
      </c>
      <c r="E49" s="3">
        <v>45957</v>
      </c>
      <c r="F49" s="1">
        <v>163.06</v>
      </c>
      <c r="G49" s="4">
        <f t="shared" si="1"/>
        <v>5.7361376673039643E-3</v>
      </c>
      <c r="I49" s="3">
        <v>45957</v>
      </c>
      <c r="J49" s="1">
        <v>184.39</v>
      </c>
      <c r="K49" s="4">
        <f t="shared" si="2"/>
        <v>7.6176528448708147E-3</v>
      </c>
      <c r="M49" s="5">
        <v>45957</v>
      </c>
      <c r="N49" s="2">
        <v>25966.05</v>
      </c>
      <c r="O49" s="4">
        <f t="shared" si="3"/>
        <v>6.6252764570082778E-3</v>
      </c>
    </row>
    <row r="50" spans="1:15" x14ac:dyDescent="0.25">
      <c r="A50" s="3">
        <v>45954</v>
      </c>
      <c r="B50" s="1">
        <v>429.714</v>
      </c>
      <c r="C50" s="4">
        <f t="shared" si="0"/>
        <v>6.8983293108699772E-3</v>
      </c>
      <c r="E50" s="3">
        <v>45954</v>
      </c>
      <c r="F50" s="1">
        <v>162.13</v>
      </c>
      <c r="G50" s="4">
        <f t="shared" si="1"/>
        <v>-4.4823775021491929E-3</v>
      </c>
      <c r="I50" s="3">
        <v>45954</v>
      </c>
      <c r="J50" s="1">
        <v>182.99600000000001</v>
      </c>
      <c r="K50" s="4">
        <f t="shared" si="2"/>
        <v>-2.3007556510266092E-3</v>
      </c>
      <c r="M50" s="5">
        <v>45954</v>
      </c>
      <c r="N50" s="2">
        <v>25795.15</v>
      </c>
      <c r="O50" s="4">
        <f t="shared" si="3"/>
        <v>-3.7174505820465331E-3</v>
      </c>
    </row>
    <row r="51" spans="1:15" x14ac:dyDescent="0.25">
      <c r="A51" s="3">
        <v>45953</v>
      </c>
      <c r="B51" s="1">
        <v>426.77</v>
      </c>
      <c r="C51" s="4">
        <f t="shared" si="0"/>
        <v>-4.1210073366065858E-3</v>
      </c>
      <c r="E51" s="3">
        <v>45953</v>
      </c>
      <c r="F51" s="1">
        <v>162.86000000000001</v>
      </c>
      <c r="G51" s="4">
        <f t="shared" si="1"/>
        <v>1.9687461547928109E-3</v>
      </c>
      <c r="I51" s="3">
        <v>45953</v>
      </c>
      <c r="J51" s="1">
        <v>183.41800000000001</v>
      </c>
      <c r="K51" s="4">
        <f t="shared" si="2"/>
        <v>-1.5731572558476126E-3</v>
      </c>
      <c r="M51" s="5">
        <v>45953</v>
      </c>
      <c r="N51" s="2">
        <v>25891.4</v>
      </c>
      <c r="O51" s="4">
        <f t="shared" si="3"/>
        <v>1.8670324631477886E-3</v>
      </c>
    </row>
    <row r="52" spans="1:15" x14ac:dyDescent="0.25">
      <c r="A52" s="3">
        <v>45950</v>
      </c>
      <c r="B52" s="1">
        <v>428.536</v>
      </c>
      <c r="C52" s="4">
        <f t="shared" si="0"/>
        <v>5.1743954213872012E-3</v>
      </c>
      <c r="E52" s="3">
        <v>45950</v>
      </c>
      <c r="F52" s="1">
        <v>162.54</v>
      </c>
      <c r="G52" s="4">
        <f t="shared" si="1"/>
        <v>1.293661060801865E-3</v>
      </c>
      <c r="I52" s="3">
        <v>45950</v>
      </c>
      <c r="J52" s="1">
        <v>183.70699999999999</v>
      </c>
      <c r="K52" s="4">
        <f t="shared" si="2"/>
        <v>4.813293441340738E-3</v>
      </c>
      <c r="M52" s="5">
        <v>45950</v>
      </c>
      <c r="N52" s="2">
        <v>25843.15</v>
      </c>
      <c r="O52" s="4">
        <f t="shared" si="3"/>
        <v>5.1847832640019575E-3</v>
      </c>
    </row>
    <row r="53" spans="1:15" x14ac:dyDescent="0.25">
      <c r="A53" s="3">
        <v>45947</v>
      </c>
      <c r="B53" s="1">
        <v>426.33</v>
      </c>
      <c r="C53" s="4">
        <f t="shared" si="0"/>
        <v>8.208409895497093E-3</v>
      </c>
      <c r="E53" s="3">
        <v>45947</v>
      </c>
      <c r="F53" s="1">
        <v>162.33000000000001</v>
      </c>
      <c r="G53" s="4">
        <f t="shared" si="1"/>
        <v>5.5473372781067454E-4</v>
      </c>
      <c r="I53" s="3">
        <v>45947</v>
      </c>
      <c r="J53" s="1">
        <v>182.827</v>
      </c>
      <c r="K53" s="4">
        <f t="shared" si="2"/>
        <v>-3.2807143208646306E-4</v>
      </c>
      <c r="M53" s="5">
        <v>45947</v>
      </c>
      <c r="N53" s="2">
        <v>25709.85</v>
      </c>
      <c r="O53" s="4">
        <f t="shared" si="3"/>
        <v>4.8680296889229702E-3</v>
      </c>
    </row>
    <row r="54" spans="1:15" x14ac:dyDescent="0.25">
      <c r="A54" s="3">
        <v>45946</v>
      </c>
      <c r="B54" s="1">
        <v>422.85899999999998</v>
      </c>
      <c r="C54" s="4">
        <f t="shared" si="0"/>
        <v>1.9120866623070221E-3</v>
      </c>
      <c r="E54" s="3">
        <v>45946</v>
      </c>
      <c r="F54" s="1">
        <v>162.24</v>
      </c>
      <c r="G54" s="4">
        <f t="shared" si="1"/>
        <v>6.0147578594902384E-3</v>
      </c>
      <c r="I54" s="3">
        <v>45946</v>
      </c>
      <c r="J54" s="1">
        <v>182.887</v>
      </c>
      <c r="K54" s="4">
        <f t="shared" si="2"/>
        <v>6.9262067180901887E-3</v>
      </c>
      <c r="M54" s="5">
        <v>45946</v>
      </c>
      <c r="N54" s="2">
        <v>25585.3</v>
      </c>
      <c r="O54" s="4">
        <f t="shared" si="3"/>
        <v>1.0336228530360092E-2</v>
      </c>
    </row>
    <row r="55" spans="1:15" x14ac:dyDescent="0.25">
      <c r="A55" s="3">
        <v>45945</v>
      </c>
      <c r="B55" s="1">
        <v>422.05200000000002</v>
      </c>
      <c r="C55" s="4">
        <f t="shared" si="0"/>
        <v>7.6206847156568003E-3</v>
      </c>
      <c r="E55" s="3">
        <v>45945</v>
      </c>
      <c r="F55" s="1">
        <v>161.27000000000001</v>
      </c>
      <c r="G55" s="4">
        <f t="shared" si="1"/>
        <v>9.578064354576199E-3</v>
      </c>
      <c r="I55" s="3">
        <v>45945</v>
      </c>
      <c r="J55" s="1">
        <v>181.62899999999999</v>
      </c>
      <c r="K55" s="4">
        <f t="shared" si="2"/>
        <v>6.4165433781604442E-3</v>
      </c>
      <c r="M55" s="5">
        <v>45945</v>
      </c>
      <c r="N55" s="2">
        <v>25323.55</v>
      </c>
      <c r="O55" s="4">
        <f t="shared" si="3"/>
        <v>7.0807898033444783E-3</v>
      </c>
    </row>
    <row r="56" spans="1:15" x14ac:dyDescent="0.25">
      <c r="A56" s="3">
        <v>45944</v>
      </c>
      <c r="B56" s="1">
        <v>418.86</v>
      </c>
      <c r="C56" s="4">
        <f t="shared" si="0"/>
        <v>4.7351074394439419E-3</v>
      </c>
      <c r="E56" s="3">
        <v>45944</v>
      </c>
      <c r="F56" s="1">
        <v>159.74</v>
      </c>
      <c r="G56" s="4">
        <f t="shared" si="1"/>
        <v>-3.3069195732201573E-3</v>
      </c>
      <c r="I56" s="3">
        <v>45944</v>
      </c>
      <c r="J56" s="1">
        <v>180.471</v>
      </c>
      <c r="K56" s="4">
        <f t="shared" si="2"/>
        <v>-3.4402023258638392E-3</v>
      </c>
      <c r="M56" s="5">
        <v>45944</v>
      </c>
      <c r="N56" s="2">
        <v>25145.5</v>
      </c>
      <c r="O56" s="4">
        <f t="shared" si="3"/>
        <v>-3.2444945664129587E-3</v>
      </c>
    </row>
    <row r="57" spans="1:15" x14ac:dyDescent="0.25">
      <c r="A57" s="3">
        <v>45943</v>
      </c>
      <c r="B57" s="1">
        <v>416.88600000000002</v>
      </c>
      <c r="C57" s="4">
        <f t="shared" si="0"/>
        <v>-4.2920300083834073E-3</v>
      </c>
      <c r="E57" s="3">
        <v>45943</v>
      </c>
      <c r="F57" s="1">
        <v>160.27000000000001</v>
      </c>
      <c r="G57" s="4">
        <f t="shared" si="1"/>
        <v>-1.9926520953982285E-3</v>
      </c>
      <c r="I57" s="3">
        <v>45943</v>
      </c>
      <c r="J57" s="1">
        <v>181.09399999999999</v>
      </c>
      <c r="K57" s="4">
        <f t="shared" si="2"/>
        <v>-6.1256587842506427E-4</v>
      </c>
      <c r="M57" s="5">
        <v>45943</v>
      </c>
      <c r="N57" s="2">
        <v>25227.35</v>
      </c>
      <c r="O57" s="4">
        <f t="shared" si="3"/>
        <v>-2.2938183572701609E-3</v>
      </c>
    </row>
    <row r="58" spans="1:15" x14ac:dyDescent="0.25">
      <c r="A58" s="3">
        <v>45940</v>
      </c>
      <c r="B58" s="1">
        <v>418.68299999999999</v>
      </c>
      <c r="C58" s="4">
        <f t="shared" si="0"/>
        <v>-1.7809884843716928E-3</v>
      </c>
      <c r="E58" s="3">
        <v>45940</v>
      </c>
      <c r="F58" s="1">
        <v>160.59</v>
      </c>
      <c r="G58" s="4">
        <f t="shared" si="1"/>
        <v>4.1268054773964113E-3</v>
      </c>
      <c r="I58" s="3">
        <v>45940</v>
      </c>
      <c r="J58" s="1">
        <v>181.20500000000001</v>
      </c>
      <c r="K58" s="4">
        <f t="shared" si="2"/>
        <v>2.4396450620698396E-3</v>
      </c>
      <c r="M58" s="5">
        <v>45940</v>
      </c>
      <c r="N58" s="2">
        <v>25285.35</v>
      </c>
      <c r="O58" s="4">
        <f t="shared" si="3"/>
        <v>4.1120968318388851E-3</v>
      </c>
    </row>
    <row r="59" spans="1:15" x14ac:dyDescent="0.25">
      <c r="A59" s="3">
        <v>45939</v>
      </c>
      <c r="B59" s="1">
        <v>419.43</v>
      </c>
      <c r="C59" s="4">
        <f t="shared" si="0"/>
        <v>2.095314094033407E-3</v>
      </c>
      <c r="E59" s="3">
        <v>45939</v>
      </c>
      <c r="F59" s="1">
        <v>159.93</v>
      </c>
      <c r="G59" s="4">
        <f t="shared" si="1"/>
        <v>8.0045380057987003E-3</v>
      </c>
      <c r="I59" s="3">
        <v>45939</v>
      </c>
      <c r="J59" s="1">
        <v>180.76400000000001</v>
      </c>
      <c r="K59" s="4">
        <f t="shared" si="2"/>
        <v>3.6478315667909378E-3</v>
      </c>
      <c r="M59" s="5">
        <v>45939</v>
      </c>
      <c r="N59" s="2">
        <v>25181.8</v>
      </c>
      <c r="O59" s="4">
        <f t="shared" si="3"/>
        <v>5.4160020601967673E-3</v>
      </c>
    </row>
    <row r="60" spans="1:15" x14ac:dyDescent="0.25">
      <c r="A60" s="3">
        <v>45938</v>
      </c>
      <c r="B60" s="1">
        <v>418.553</v>
      </c>
      <c r="C60" s="4">
        <f t="shared" si="0"/>
        <v>5.4795902679016795E-3</v>
      </c>
      <c r="E60" s="3">
        <v>45938</v>
      </c>
      <c r="F60" s="1">
        <v>158.66</v>
      </c>
      <c r="G60" s="4">
        <f t="shared" si="1"/>
        <v>-2.13836477987428E-3</v>
      </c>
      <c r="I60" s="3">
        <v>45938</v>
      </c>
      <c r="J60" s="1">
        <v>180.107</v>
      </c>
      <c r="K60" s="4">
        <f t="shared" si="2"/>
        <v>-3.6676439674725447E-3</v>
      </c>
      <c r="M60" s="5">
        <v>45938</v>
      </c>
      <c r="N60" s="2">
        <v>25046.15</v>
      </c>
      <c r="O60" s="4">
        <f t="shared" si="3"/>
        <v>-2.4752770996043783E-3</v>
      </c>
    </row>
    <row r="61" spans="1:15" x14ac:dyDescent="0.25">
      <c r="A61" s="3">
        <v>45937</v>
      </c>
      <c r="B61" s="1">
        <v>416.27199999999999</v>
      </c>
      <c r="C61" s="4">
        <f t="shared" si="0"/>
        <v>-4.6411756688577999E-3</v>
      </c>
      <c r="E61" s="3">
        <v>45937</v>
      </c>
      <c r="F61" s="1">
        <v>159</v>
      </c>
      <c r="G61" s="4">
        <f t="shared" si="1"/>
        <v>1.890359168241984E-3</v>
      </c>
      <c r="I61" s="3">
        <v>45937</v>
      </c>
      <c r="J61" s="1">
        <v>180.77</v>
      </c>
      <c r="K61" s="4">
        <f t="shared" si="2"/>
        <v>6.6980719516851472E-4</v>
      </c>
      <c r="M61" s="5">
        <v>45937</v>
      </c>
      <c r="N61" s="2">
        <v>25108.3</v>
      </c>
      <c r="O61" s="4">
        <f t="shared" si="3"/>
        <v>1.222203834888802E-3</v>
      </c>
    </row>
    <row r="62" spans="1:15" x14ac:dyDescent="0.25">
      <c r="A62" s="3">
        <v>45936</v>
      </c>
      <c r="B62" s="1">
        <v>418.21300000000002</v>
      </c>
      <c r="C62" s="4">
        <f t="shared" si="0"/>
        <v>1.978978741551618E-3</v>
      </c>
      <c r="E62" s="3">
        <v>45936</v>
      </c>
      <c r="F62" s="1">
        <v>158.69999999999999</v>
      </c>
      <c r="G62" s="4">
        <f t="shared" si="1"/>
        <v>8.0030487804878536E-3</v>
      </c>
      <c r="I62" s="3">
        <v>45936</v>
      </c>
      <c r="J62" s="1">
        <v>180.649</v>
      </c>
      <c r="K62" s="4">
        <f t="shared" si="2"/>
        <v>8.9699122557149735E-3</v>
      </c>
      <c r="M62" s="5">
        <v>45936</v>
      </c>
      <c r="N62" s="2">
        <v>25077.65</v>
      </c>
      <c r="O62" s="4">
        <f t="shared" si="3"/>
        <v>7.3671630999125881E-3</v>
      </c>
    </row>
    <row r="63" spans="1:15" x14ac:dyDescent="0.25">
      <c r="A63" s="3">
        <v>45933</v>
      </c>
      <c r="B63" s="1">
        <v>417.387</v>
      </c>
      <c r="C63" s="4">
        <f t="shared" si="0"/>
        <v>4.4254815328192976E-3</v>
      </c>
      <c r="E63" s="3">
        <v>45933</v>
      </c>
      <c r="F63" s="1">
        <v>157.44</v>
      </c>
      <c r="G63" s="4">
        <f t="shared" si="1"/>
        <v>4.7223994894702859E-3</v>
      </c>
      <c r="I63" s="3">
        <v>45933</v>
      </c>
      <c r="J63" s="1">
        <v>179.04300000000001</v>
      </c>
      <c r="K63" s="4">
        <f t="shared" si="2"/>
        <v>6.1761003461764385E-3</v>
      </c>
      <c r="M63" s="5">
        <v>45933</v>
      </c>
      <c r="N63" s="2">
        <v>24894.25</v>
      </c>
      <c r="O63" s="4">
        <f t="shared" si="3"/>
        <v>2.3332783063501061E-3</v>
      </c>
    </row>
    <row r="64" spans="1:15" x14ac:dyDescent="0.25">
      <c r="A64" s="3">
        <v>45931</v>
      </c>
      <c r="B64" s="1">
        <v>415.548</v>
      </c>
      <c r="C64" s="4">
        <f t="shared" si="0"/>
        <v>5.3467138274245762E-3</v>
      </c>
      <c r="E64" s="3">
        <v>45931</v>
      </c>
      <c r="F64" s="1">
        <v>156.69999999999999</v>
      </c>
      <c r="G64" s="4">
        <f t="shared" si="1"/>
        <v>7.7170418006429209E-3</v>
      </c>
      <c r="I64" s="3">
        <v>45931</v>
      </c>
      <c r="J64" s="1">
        <v>177.94399999999999</v>
      </c>
      <c r="K64" s="4">
        <f t="shared" si="2"/>
        <v>5.4867126623834306E-3</v>
      </c>
      <c r="M64" s="5">
        <v>45931</v>
      </c>
      <c r="N64" s="2">
        <v>24836.3</v>
      </c>
      <c r="O64" s="4">
        <f t="shared" si="3"/>
        <v>9.1503427315318131E-3</v>
      </c>
    </row>
    <row r="65" spans="1:15" x14ac:dyDescent="0.25">
      <c r="A65" s="3">
        <v>45930</v>
      </c>
      <c r="B65" s="1">
        <v>413.33800000000002</v>
      </c>
      <c r="C65" s="4">
        <f t="shared" si="0"/>
        <v>6.7737244767474003E-3</v>
      </c>
      <c r="E65" s="3">
        <v>45930</v>
      </c>
      <c r="F65" s="1">
        <v>155.5</v>
      </c>
      <c r="G65" s="4">
        <f t="shared" si="1"/>
        <v>1.9296327265716506E-4</v>
      </c>
      <c r="I65" s="3">
        <v>45930</v>
      </c>
      <c r="J65" s="1">
        <v>176.97300000000001</v>
      </c>
      <c r="K65" s="4">
        <f t="shared" si="2"/>
        <v>2.8560257042313797E-3</v>
      </c>
      <c r="M65" s="5">
        <v>45930</v>
      </c>
      <c r="N65" s="2">
        <v>24611.1</v>
      </c>
      <c r="O65" s="4">
        <f t="shared" si="3"/>
        <v>-9.6610905666361102E-4</v>
      </c>
    </row>
    <row r="66" spans="1:15" x14ac:dyDescent="0.25">
      <c r="A66" s="3">
        <v>45929</v>
      </c>
      <c r="B66" s="1">
        <v>410.55700000000002</v>
      </c>
      <c r="C66" s="4">
        <f t="shared" si="0"/>
        <v>4.1911863250376769E-4</v>
      </c>
      <c r="E66" s="3">
        <v>45929</v>
      </c>
      <c r="F66" s="1">
        <v>155.47</v>
      </c>
      <c r="G66" s="4">
        <f t="shared" si="1"/>
        <v>1.3525698827774324E-3</v>
      </c>
      <c r="I66" s="3">
        <v>45929</v>
      </c>
      <c r="J66" s="1">
        <v>176.46899999999999</v>
      </c>
      <c r="K66" s="4">
        <f t="shared" si="2"/>
        <v>5.3266033930747803E-3</v>
      </c>
      <c r="M66" s="5">
        <v>45929</v>
      </c>
      <c r="N66" s="2">
        <v>24634.9</v>
      </c>
      <c r="O66" s="4">
        <f t="shared" si="3"/>
        <v>-8.0309231099950917E-4</v>
      </c>
    </row>
    <row r="67" spans="1:15" x14ac:dyDescent="0.25">
      <c r="A67" s="3">
        <v>45926</v>
      </c>
      <c r="B67" s="1">
        <v>410.38499999999999</v>
      </c>
      <c r="C67" s="4">
        <f t="shared" ref="C67:C130" si="4">(B67/B68)-1</f>
        <v>1.544836876940181E-3</v>
      </c>
      <c r="E67" s="3">
        <v>45926</v>
      </c>
      <c r="F67" s="1">
        <v>155.26</v>
      </c>
      <c r="G67" s="4">
        <f t="shared" ref="G67:G130" si="5">(F67/F68)-1</f>
        <v>-1.609632446134357E-2</v>
      </c>
      <c r="I67" s="3">
        <v>45926</v>
      </c>
      <c r="J67" s="1">
        <v>175.53399999999999</v>
      </c>
      <c r="K67" s="4">
        <f t="shared" ref="K67:K130" si="6">(J67/J68)-1</f>
        <v>-1.2244668279781767E-2</v>
      </c>
      <c r="M67" s="5">
        <v>45926</v>
      </c>
      <c r="N67" s="2">
        <v>24654.7</v>
      </c>
      <c r="O67" s="4">
        <f t="shared" ref="O67:O130" si="7">(N67/N68)-1</f>
        <v>-9.4874220848222279E-3</v>
      </c>
    </row>
    <row r="68" spans="1:15" x14ac:dyDescent="0.25">
      <c r="A68" s="3">
        <v>45925</v>
      </c>
      <c r="B68" s="1">
        <v>409.75200000000001</v>
      </c>
      <c r="C68" s="4">
        <f t="shared" si="4"/>
        <v>-1.0848626178647347E-2</v>
      </c>
      <c r="E68" s="3">
        <v>45925</v>
      </c>
      <c r="F68" s="1">
        <v>157.80000000000001</v>
      </c>
      <c r="G68" s="4">
        <f t="shared" si="5"/>
        <v>-6.3598010200868194E-3</v>
      </c>
      <c r="I68" s="3">
        <v>45925</v>
      </c>
      <c r="J68" s="1">
        <v>177.71</v>
      </c>
      <c r="K68" s="4">
        <f t="shared" si="6"/>
        <v>-5.5400111919416961E-3</v>
      </c>
      <c r="M68" s="5">
        <v>45925</v>
      </c>
      <c r="N68" s="2">
        <v>24890.85</v>
      </c>
      <c r="O68" s="4">
        <f t="shared" si="7"/>
        <v>-6.6269171365972435E-3</v>
      </c>
    </row>
    <row r="69" spans="1:15" x14ac:dyDescent="0.25">
      <c r="A69" s="3">
        <v>45924</v>
      </c>
      <c r="B69" s="1">
        <v>414.24599999999998</v>
      </c>
      <c r="C69" s="4">
        <f t="shared" si="4"/>
        <v>-6.1800960601887667E-3</v>
      </c>
      <c r="E69" s="3">
        <v>45924</v>
      </c>
      <c r="F69" s="1">
        <v>158.81</v>
      </c>
      <c r="G69" s="4">
        <f t="shared" si="5"/>
        <v>-7.2513596299306204E-3</v>
      </c>
      <c r="I69" s="3">
        <v>45924</v>
      </c>
      <c r="J69" s="1">
        <v>178.7</v>
      </c>
      <c r="K69" s="4">
        <f t="shared" si="6"/>
        <v>-4.1683384601668427E-3</v>
      </c>
      <c r="M69" s="5">
        <v>45924</v>
      </c>
      <c r="N69" s="2">
        <v>25056.9</v>
      </c>
      <c r="O69" s="4">
        <f t="shared" si="7"/>
        <v>-4.4736685273842891E-3</v>
      </c>
    </row>
    <row r="70" spans="1:15" x14ac:dyDescent="0.25">
      <c r="A70" s="3">
        <v>45923</v>
      </c>
      <c r="B70" s="1">
        <v>416.822</v>
      </c>
      <c r="C70" s="4">
        <f t="shared" si="4"/>
        <v>-5.5754498889443171E-3</v>
      </c>
      <c r="E70" s="3">
        <v>45923</v>
      </c>
      <c r="F70" s="1">
        <v>159.97</v>
      </c>
      <c r="G70" s="4">
        <f t="shared" si="5"/>
        <v>-3.6746387643248335E-3</v>
      </c>
      <c r="I70" s="3">
        <v>45923</v>
      </c>
      <c r="J70" s="1">
        <v>179.44800000000001</v>
      </c>
      <c r="K70" s="4">
        <f t="shared" si="6"/>
        <v>-3.4486780067639611E-3</v>
      </c>
      <c r="M70" s="5">
        <v>45923</v>
      </c>
      <c r="N70" s="2">
        <v>25169.5</v>
      </c>
      <c r="O70" s="4">
        <f t="shared" si="7"/>
        <v>-1.3034498766979485E-3</v>
      </c>
    </row>
    <row r="71" spans="1:15" x14ac:dyDescent="0.25">
      <c r="A71" s="3">
        <v>45922</v>
      </c>
      <c r="B71" s="1">
        <v>419.15899999999999</v>
      </c>
      <c r="C71" s="4">
        <f t="shared" si="4"/>
        <v>-2.1164247895478772E-3</v>
      </c>
      <c r="E71" s="3">
        <v>45922</v>
      </c>
      <c r="F71" s="1">
        <v>160.56</v>
      </c>
      <c r="G71" s="4">
        <f t="shared" si="5"/>
        <v>-7.9090459713296868E-3</v>
      </c>
      <c r="I71" s="3">
        <v>45922</v>
      </c>
      <c r="J71" s="1">
        <v>180.06899999999999</v>
      </c>
      <c r="K71" s="4">
        <f t="shared" si="6"/>
        <v>-9.6957631220027096E-3</v>
      </c>
      <c r="M71" s="5">
        <v>45922</v>
      </c>
      <c r="N71" s="2">
        <v>25202.35</v>
      </c>
      <c r="O71" s="4">
        <f t="shared" si="7"/>
        <v>-4.9235896008418267E-3</v>
      </c>
    </row>
    <row r="72" spans="1:15" x14ac:dyDescent="0.25">
      <c r="A72" s="3">
        <v>45919</v>
      </c>
      <c r="B72" s="1">
        <v>420.048</v>
      </c>
      <c r="C72" s="4">
        <f t="shared" si="4"/>
        <v>-5.481067233635506E-3</v>
      </c>
      <c r="E72" s="3">
        <v>45919</v>
      </c>
      <c r="F72" s="1">
        <v>161.84</v>
      </c>
      <c r="G72" s="4">
        <f t="shared" si="5"/>
        <v>-2.8342575477511289E-3</v>
      </c>
      <c r="I72" s="3">
        <v>45919</v>
      </c>
      <c r="J72" s="1">
        <v>181.83199999999999</v>
      </c>
      <c r="K72" s="4">
        <f t="shared" si="6"/>
        <v>2.3649002497201366E-3</v>
      </c>
      <c r="M72" s="5">
        <v>45919</v>
      </c>
      <c r="N72" s="2">
        <v>25327.05</v>
      </c>
      <c r="O72" s="4">
        <f t="shared" si="7"/>
        <v>-3.7976525747730472E-3</v>
      </c>
    </row>
    <row r="73" spans="1:15" x14ac:dyDescent="0.25">
      <c r="A73" s="3">
        <v>45918</v>
      </c>
      <c r="B73" s="1">
        <v>422.363</v>
      </c>
      <c r="C73" s="4">
        <f t="shared" si="4"/>
        <v>-1.5838007909548812E-3</v>
      </c>
      <c r="E73" s="3">
        <v>45918</v>
      </c>
      <c r="F73" s="1">
        <v>162.30000000000001</v>
      </c>
      <c r="G73" s="4">
        <f t="shared" si="5"/>
        <v>4.3938362522433216E-3</v>
      </c>
      <c r="I73" s="3">
        <v>45918</v>
      </c>
      <c r="J73" s="1">
        <v>181.40299999999999</v>
      </c>
      <c r="K73" s="4">
        <f t="shared" si="6"/>
        <v>4.3851149708489245E-3</v>
      </c>
      <c r="M73" s="5">
        <v>45918</v>
      </c>
      <c r="N73" s="2">
        <v>25423.599999999999</v>
      </c>
      <c r="O73" s="4">
        <f t="shared" si="7"/>
        <v>3.685316962919849E-3</v>
      </c>
    </row>
    <row r="74" spans="1:15" x14ac:dyDescent="0.25">
      <c r="A74" s="3">
        <v>45917</v>
      </c>
      <c r="B74" s="1">
        <v>423.03300000000002</v>
      </c>
      <c r="C74" s="4">
        <f t="shared" si="4"/>
        <v>4.196883197037593E-3</v>
      </c>
      <c r="E74" s="3">
        <v>45917</v>
      </c>
      <c r="F74" s="1">
        <v>161.59</v>
      </c>
      <c r="G74" s="4">
        <f t="shared" si="5"/>
        <v>2.7926027057219027E-3</v>
      </c>
      <c r="I74" s="3">
        <v>45917</v>
      </c>
      <c r="J74" s="1">
        <v>180.61099999999999</v>
      </c>
      <c r="K74" s="4">
        <f t="shared" si="6"/>
        <v>5.1702452109838593E-3</v>
      </c>
      <c r="M74" s="5">
        <v>45917</v>
      </c>
      <c r="N74" s="2">
        <v>25330.25</v>
      </c>
      <c r="O74" s="4">
        <f t="shared" si="7"/>
        <v>3.6114599965926253E-3</v>
      </c>
    </row>
    <row r="75" spans="1:15" x14ac:dyDescent="0.25">
      <c r="A75" s="3">
        <v>45916</v>
      </c>
      <c r="B75" s="1">
        <v>421.26499999999999</v>
      </c>
      <c r="C75" s="4">
        <f t="shared" si="4"/>
        <v>2.3436756448083074E-3</v>
      </c>
      <c r="E75" s="3">
        <v>45916</v>
      </c>
      <c r="F75" s="1">
        <v>161.13999999999999</v>
      </c>
      <c r="G75" s="4">
        <f t="shared" si="5"/>
        <v>7.8809106830122211E-3</v>
      </c>
      <c r="I75" s="3">
        <v>45916</v>
      </c>
      <c r="J75" s="1">
        <v>179.68199999999999</v>
      </c>
      <c r="K75" s="4">
        <f t="shared" si="6"/>
        <v>5.4108496768596748E-3</v>
      </c>
      <c r="M75" s="5">
        <v>45916</v>
      </c>
      <c r="N75" s="2">
        <v>25239.1</v>
      </c>
      <c r="O75" s="4">
        <f t="shared" si="7"/>
        <v>6.7772405980246475E-3</v>
      </c>
    </row>
    <row r="76" spans="1:15" x14ac:dyDescent="0.25">
      <c r="A76" s="3">
        <v>45915</v>
      </c>
      <c r="B76" s="1">
        <v>420.28</v>
      </c>
      <c r="C76" s="4">
        <f t="shared" si="4"/>
        <v>5.714395106869663E-3</v>
      </c>
      <c r="E76" s="3">
        <v>45915</v>
      </c>
      <c r="F76" s="1">
        <v>159.88</v>
      </c>
      <c r="G76" s="4">
        <f t="shared" si="5"/>
        <v>8.7642418930755639E-4</v>
      </c>
      <c r="I76" s="3">
        <v>45915</v>
      </c>
      <c r="J76" s="1">
        <v>178.715</v>
      </c>
      <c r="K76" s="4">
        <f t="shared" si="6"/>
        <v>1.4457264214908783E-3</v>
      </c>
      <c r="M76" s="5">
        <v>45915</v>
      </c>
      <c r="N76" s="2">
        <v>25069.200000000001</v>
      </c>
      <c r="O76" s="4">
        <f t="shared" si="7"/>
        <v>-1.7838655729871533E-3</v>
      </c>
    </row>
    <row r="77" spans="1:15" x14ac:dyDescent="0.25">
      <c r="A77" s="3">
        <v>45912</v>
      </c>
      <c r="B77" s="1">
        <v>417.892</v>
      </c>
      <c r="C77" s="4">
        <f t="shared" si="4"/>
        <v>1.4120473969247982E-4</v>
      </c>
      <c r="E77" s="3">
        <v>45912</v>
      </c>
      <c r="F77" s="1">
        <v>159.74</v>
      </c>
      <c r="G77" s="4">
        <f t="shared" si="5"/>
        <v>1.6302984700276024E-3</v>
      </c>
      <c r="I77" s="3">
        <v>45912</v>
      </c>
      <c r="J77" s="1">
        <v>178.45699999999999</v>
      </c>
      <c r="K77" s="4">
        <f t="shared" si="6"/>
        <v>3.1591669243091758E-3</v>
      </c>
      <c r="M77" s="5">
        <v>45912</v>
      </c>
      <c r="N77" s="2">
        <v>25114</v>
      </c>
      <c r="O77" s="4">
        <f t="shared" si="7"/>
        <v>4.3390454100098452E-3</v>
      </c>
    </row>
    <row r="78" spans="1:15" x14ac:dyDescent="0.25">
      <c r="A78" s="3">
        <v>45911</v>
      </c>
      <c r="B78" s="1">
        <v>417.83300000000003</v>
      </c>
      <c r="C78" s="4">
        <f t="shared" si="4"/>
        <v>1.7621757956163275E-3</v>
      </c>
      <c r="E78" s="3">
        <v>45911</v>
      </c>
      <c r="F78" s="1">
        <v>159.47999999999999</v>
      </c>
      <c r="G78" s="4">
        <f t="shared" si="5"/>
        <v>-1.1273957158963732E-3</v>
      </c>
      <c r="I78" s="3">
        <v>45911</v>
      </c>
      <c r="J78" s="1">
        <v>177.89500000000001</v>
      </c>
      <c r="K78" s="4">
        <f t="shared" si="6"/>
        <v>-3.0345773227158368E-4</v>
      </c>
      <c r="M78" s="5">
        <v>45911</v>
      </c>
      <c r="N78" s="2">
        <v>25005.5</v>
      </c>
      <c r="O78" s="4">
        <f t="shared" si="7"/>
        <v>1.2973959980939753E-3</v>
      </c>
    </row>
    <row r="79" spans="1:15" x14ac:dyDescent="0.25">
      <c r="A79" s="3">
        <v>45910</v>
      </c>
      <c r="B79" s="1">
        <v>417.09800000000001</v>
      </c>
      <c r="C79" s="4">
        <f t="shared" si="4"/>
        <v>2.3671454628910737E-3</v>
      </c>
      <c r="E79" s="3">
        <v>45910</v>
      </c>
      <c r="F79" s="1">
        <v>159.66</v>
      </c>
      <c r="G79" s="4">
        <f t="shared" si="5"/>
        <v>4.2772675808278038E-3</v>
      </c>
      <c r="I79" s="3">
        <v>45910</v>
      </c>
      <c r="J79" s="1">
        <v>177.94900000000001</v>
      </c>
      <c r="K79" s="4">
        <f t="shared" si="6"/>
        <v>7.7014989608639173E-3</v>
      </c>
      <c r="M79" s="5">
        <v>45910</v>
      </c>
      <c r="N79" s="2">
        <v>24973.1</v>
      </c>
      <c r="O79" s="4">
        <f t="shared" si="7"/>
        <v>4.2020861648826013E-3</v>
      </c>
    </row>
    <row r="80" spans="1:15" x14ac:dyDescent="0.25">
      <c r="A80" s="3">
        <v>45909</v>
      </c>
      <c r="B80" s="1">
        <v>416.113</v>
      </c>
      <c r="C80" s="4">
        <f t="shared" si="4"/>
        <v>2.814830881201047E-3</v>
      </c>
      <c r="E80" s="3">
        <v>45909</v>
      </c>
      <c r="F80" s="1">
        <v>158.97999999999999</v>
      </c>
      <c r="G80" s="4">
        <f t="shared" si="5"/>
        <v>3.4715647289023099E-3</v>
      </c>
      <c r="I80" s="3">
        <v>45909</v>
      </c>
      <c r="J80" s="1">
        <v>176.589</v>
      </c>
      <c r="K80" s="4">
        <f t="shared" si="6"/>
        <v>2.5320336317651293E-3</v>
      </c>
      <c r="M80" s="5">
        <v>45909</v>
      </c>
      <c r="N80" s="2">
        <v>24868.6</v>
      </c>
      <c r="O80" s="4">
        <f t="shared" si="7"/>
        <v>3.8529617751474898E-3</v>
      </c>
    </row>
    <row r="81" spans="1:15" x14ac:dyDescent="0.25">
      <c r="A81" s="3">
        <v>45908</v>
      </c>
      <c r="B81" s="1">
        <v>414.94499999999999</v>
      </c>
      <c r="C81" s="4">
        <f t="shared" si="4"/>
        <v>1.2257592830755559E-3</v>
      </c>
      <c r="E81" s="3">
        <v>45908</v>
      </c>
      <c r="F81" s="1">
        <v>158.43</v>
      </c>
      <c r="G81" s="4">
        <f t="shared" si="5"/>
        <v>4.1833048108004256E-3</v>
      </c>
      <c r="I81" s="3">
        <v>45908</v>
      </c>
      <c r="J81" s="1">
        <v>176.143</v>
      </c>
      <c r="K81" s="4">
        <f t="shared" si="6"/>
        <v>4.9416094878895755E-4</v>
      </c>
      <c r="M81" s="5">
        <v>45908</v>
      </c>
      <c r="N81" s="2">
        <v>24773.15</v>
      </c>
      <c r="O81" s="4">
        <f t="shared" si="7"/>
        <v>1.2994624307829383E-3</v>
      </c>
    </row>
    <row r="82" spans="1:15" x14ac:dyDescent="0.25">
      <c r="A82" s="3">
        <v>45905</v>
      </c>
      <c r="B82" s="1">
        <v>414.43700000000001</v>
      </c>
      <c r="C82" s="4">
        <f t="shared" si="4"/>
        <v>1.735477461755508E-3</v>
      </c>
      <c r="E82" s="3">
        <v>45905</v>
      </c>
      <c r="F82" s="1">
        <v>157.77000000000001</v>
      </c>
      <c r="G82" s="4">
        <f t="shared" si="5"/>
        <v>6.3387423935301612E-5</v>
      </c>
      <c r="I82" s="3">
        <v>45905</v>
      </c>
      <c r="J82" s="1">
        <v>176.05600000000001</v>
      </c>
      <c r="K82" s="4">
        <f t="shared" si="6"/>
        <v>6.2484023971354219E-5</v>
      </c>
      <c r="M82" s="5">
        <v>45905</v>
      </c>
      <c r="N82" s="2">
        <v>24741</v>
      </c>
      <c r="O82" s="4">
        <f t="shared" si="7"/>
        <v>2.7087890095933709E-4</v>
      </c>
    </row>
    <row r="83" spans="1:15" x14ac:dyDescent="0.25">
      <c r="A83" s="3">
        <v>45904</v>
      </c>
      <c r="B83" s="1">
        <v>413.71899999999999</v>
      </c>
      <c r="C83" s="4">
        <f t="shared" si="4"/>
        <v>5.1026824148503458E-4</v>
      </c>
      <c r="E83" s="3">
        <v>45904</v>
      </c>
      <c r="F83" s="1">
        <v>157.76</v>
      </c>
      <c r="G83" s="4">
        <f t="shared" si="5"/>
        <v>7.6122811469181428E-4</v>
      </c>
      <c r="I83" s="3">
        <v>45904</v>
      </c>
      <c r="J83" s="1">
        <v>176.04499999999999</v>
      </c>
      <c r="K83" s="4">
        <f t="shared" si="6"/>
        <v>-4.8782417979966741E-3</v>
      </c>
      <c r="M83" s="5">
        <v>45904</v>
      </c>
      <c r="N83" s="2">
        <v>24734.3</v>
      </c>
      <c r="O83" s="4">
        <f t="shared" si="7"/>
        <v>7.7887764742534671E-4</v>
      </c>
    </row>
    <row r="84" spans="1:15" x14ac:dyDescent="0.25">
      <c r="A84" s="3">
        <v>45903</v>
      </c>
      <c r="B84" s="1">
        <v>413.50799999999998</v>
      </c>
      <c r="C84" s="4">
        <f t="shared" si="4"/>
        <v>-2.1669570421278816E-3</v>
      </c>
      <c r="E84" s="3">
        <v>45903</v>
      </c>
      <c r="F84" s="1">
        <v>157.63999999999999</v>
      </c>
      <c r="G84" s="4">
        <f t="shared" si="5"/>
        <v>5.7419931096081012E-3</v>
      </c>
      <c r="I84" s="3">
        <v>45903</v>
      </c>
      <c r="J84" s="1">
        <v>176.90799999999999</v>
      </c>
      <c r="K84" s="4">
        <f t="shared" si="6"/>
        <v>7.213577695412754E-3</v>
      </c>
      <c r="M84" s="5">
        <v>45903</v>
      </c>
      <c r="N84" s="2">
        <v>24715.05</v>
      </c>
      <c r="O84" s="4">
        <f t="shared" si="7"/>
        <v>5.510667382707668E-3</v>
      </c>
    </row>
    <row r="85" spans="1:15" x14ac:dyDescent="0.25">
      <c r="A85" s="3">
        <v>45902</v>
      </c>
      <c r="B85" s="1">
        <v>414.40600000000001</v>
      </c>
      <c r="C85" s="4">
        <f t="shared" si="4"/>
        <v>6.1108696760534542E-3</v>
      </c>
      <c r="E85" s="3">
        <v>45902</v>
      </c>
      <c r="F85" s="1">
        <v>156.74</v>
      </c>
      <c r="G85" s="4">
        <f t="shared" si="5"/>
        <v>-3.3066259697315248E-3</v>
      </c>
      <c r="I85" s="3">
        <v>45902</v>
      </c>
      <c r="J85" s="1">
        <v>175.64099999999999</v>
      </c>
      <c r="K85" s="4">
        <f t="shared" si="6"/>
        <v>5.6934639034444956E-6</v>
      </c>
      <c r="M85" s="5">
        <v>45902</v>
      </c>
      <c r="N85" s="2">
        <v>24579.599999999999</v>
      </c>
      <c r="O85" s="4">
        <f t="shared" si="7"/>
        <v>-1.8456815316111319E-3</v>
      </c>
    </row>
    <row r="86" spans="1:15" x14ac:dyDescent="0.25">
      <c r="A86" s="3">
        <v>45901</v>
      </c>
      <c r="B86" s="1">
        <v>411.88900000000001</v>
      </c>
      <c r="C86" s="4">
        <f t="shared" si="4"/>
        <v>2.4191095048613498E-3</v>
      </c>
      <c r="E86" s="3">
        <v>45901</v>
      </c>
      <c r="F86" s="1">
        <v>157.26</v>
      </c>
      <c r="G86" s="4">
        <f t="shared" si="5"/>
        <v>1.2620734063103489E-2</v>
      </c>
      <c r="I86" s="3">
        <v>45901</v>
      </c>
      <c r="J86" s="1">
        <v>175.64</v>
      </c>
      <c r="K86" s="4">
        <f t="shared" si="6"/>
        <v>1.0906788684566404E-2</v>
      </c>
      <c r="M86" s="5">
        <v>45901</v>
      </c>
      <c r="N86" s="2">
        <v>24625.05</v>
      </c>
      <c r="O86" s="4">
        <f t="shared" si="7"/>
        <v>8.1140220699762455E-3</v>
      </c>
    </row>
    <row r="87" spans="1:15" x14ac:dyDescent="0.25">
      <c r="A87" s="3">
        <v>45898</v>
      </c>
      <c r="B87" s="1">
        <v>410.89499999999998</v>
      </c>
      <c r="C87" s="4">
        <f t="shared" si="4"/>
        <v>7.6068005090816904E-3</v>
      </c>
      <c r="E87" s="3">
        <v>45898</v>
      </c>
      <c r="F87" s="1">
        <v>155.30000000000001</v>
      </c>
      <c r="G87" s="4">
        <f t="shared" si="5"/>
        <v>-4.7423737503202723E-3</v>
      </c>
      <c r="I87" s="3">
        <v>45898</v>
      </c>
      <c r="J87" s="1">
        <v>173.745</v>
      </c>
      <c r="K87" s="4">
        <f t="shared" si="6"/>
        <v>-2.8237400781693234E-3</v>
      </c>
      <c r="M87" s="5">
        <v>45898</v>
      </c>
      <c r="N87" s="2">
        <v>24426.85</v>
      </c>
      <c r="O87" s="4">
        <f t="shared" si="7"/>
        <v>-3.0223379549323415E-3</v>
      </c>
    </row>
    <row r="88" spans="1:15" x14ac:dyDescent="0.25">
      <c r="A88" s="3">
        <v>45897</v>
      </c>
      <c r="B88" s="1">
        <v>407.79300000000001</v>
      </c>
      <c r="C88" s="4">
        <f t="shared" si="4"/>
        <v>2.6975197532141948E-5</v>
      </c>
      <c r="E88" s="3">
        <v>45897</v>
      </c>
      <c r="F88" s="1">
        <v>156.04</v>
      </c>
      <c r="G88" s="4">
        <f t="shared" si="5"/>
        <v>-1.027527591018651E-2</v>
      </c>
      <c r="I88" s="3">
        <v>45897</v>
      </c>
      <c r="J88" s="1">
        <v>174.23699999999999</v>
      </c>
      <c r="K88" s="4">
        <f t="shared" si="6"/>
        <v>-1.1494187662754007E-2</v>
      </c>
      <c r="M88" s="5">
        <v>45897</v>
      </c>
      <c r="N88" s="2">
        <v>24500.9</v>
      </c>
      <c r="O88" s="4">
        <f t="shared" si="7"/>
        <v>-8.5444145669824056E-3</v>
      </c>
    </row>
    <row r="89" spans="1:15" x14ac:dyDescent="0.25">
      <c r="A89" s="3">
        <v>45895</v>
      </c>
      <c r="B89" s="1">
        <v>407.78199999999998</v>
      </c>
      <c r="C89" s="4">
        <f t="shared" si="4"/>
        <v>-2.1655773527101685E-3</v>
      </c>
      <c r="E89" s="3">
        <v>45895</v>
      </c>
      <c r="F89" s="1">
        <v>157.66</v>
      </c>
      <c r="G89" s="4">
        <f t="shared" si="5"/>
        <v>-1.1412089290193106E-2</v>
      </c>
      <c r="I89" s="3">
        <v>45895</v>
      </c>
      <c r="J89" s="1">
        <v>176.26300000000001</v>
      </c>
      <c r="K89" s="4">
        <f t="shared" si="6"/>
        <v>-1.140238704177321E-2</v>
      </c>
      <c r="M89" s="5">
        <v>45895</v>
      </c>
      <c r="N89" s="2">
        <v>24712.05</v>
      </c>
      <c r="O89" s="4">
        <f t="shared" si="7"/>
        <v>-1.0241211162399511E-2</v>
      </c>
    </row>
    <row r="90" spans="1:15" x14ac:dyDescent="0.25">
      <c r="A90" s="3">
        <v>45894</v>
      </c>
      <c r="B90" s="1">
        <v>408.66699999999997</v>
      </c>
      <c r="C90" s="4">
        <f t="shared" si="4"/>
        <v>-7.3091460274584685E-3</v>
      </c>
      <c r="E90" s="3">
        <v>45894</v>
      </c>
      <c r="F90" s="1">
        <v>159.47999999999999</v>
      </c>
      <c r="G90" s="4">
        <f t="shared" si="5"/>
        <v>3.2081524816003348E-3</v>
      </c>
      <c r="I90" s="3">
        <v>45894</v>
      </c>
      <c r="J90" s="1">
        <v>178.29599999999999</v>
      </c>
      <c r="K90" s="4">
        <f t="shared" si="6"/>
        <v>1.5110067574020114E-3</v>
      </c>
      <c r="M90" s="5">
        <v>45894</v>
      </c>
      <c r="N90" s="2">
        <v>24967.75</v>
      </c>
      <c r="O90" s="4">
        <f t="shared" si="7"/>
        <v>3.9264015826234733E-3</v>
      </c>
    </row>
    <row r="91" spans="1:15" x14ac:dyDescent="0.25">
      <c r="A91" s="3">
        <v>45891</v>
      </c>
      <c r="B91" s="1">
        <v>411.67599999999999</v>
      </c>
      <c r="C91" s="4">
        <f t="shared" si="4"/>
        <v>-9.2963596678049543E-3</v>
      </c>
      <c r="E91" s="3">
        <v>45891</v>
      </c>
      <c r="F91" s="1">
        <v>158.97</v>
      </c>
      <c r="G91" s="4">
        <f t="shared" si="5"/>
        <v>-4.3840420868039853E-3</v>
      </c>
      <c r="I91" s="3">
        <v>45891</v>
      </c>
      <c r="J91" s="1">
        <v>178.02699999999999</v>
      </c>
      <c r="K91" s="4">
        <f t="shared" si="6"/>
        <v>-3.7047607854988618E-3</v>
      </c>
      <c r="M91" s="5">
        <v>45891</v>
      </c>
      <c r="N91" s="2">
        <v>24870.1</v>
      </c>
      <c r="O91" s="4">
        <f t="shared" si="7"/>
        <v>-8.5174664872676997E-3</v>
      </c>
    </row>
    <row r="92" spans="1:15" x14ac:dyDescent="0.25">
      <c r="A92" s="3">
        <v>45890</v>
      </c>
      <c r="B92" s="1">
        <v>415.53899999999999</v>
      </c>
      <c r="C92" s="4">
        <f t="shared" si="4"/>
        <v>1.6125533299586881E-3</v>
      </c>
      <c r="E92" s="3">
        <v>45890</v>
      </c>
      <c r="F92" s="1">
        <v>159.66999999999999</v>
      </c>
      <c r="G92" s="4">
        <f t="shared" si="5"/>
        <v>1.3169446883229963E-3</v>
      </c>
      <c r="I92" s="3">
        <v>45890</v>
      </c>
      <c r="J92" s="1">
        <v>178.68899999999999</v>
      </c>
      <c r="K92" s="4">
        <f t="shared" si="6"/>
        <v>3.750937734432469E-4</v>
      </c>
      <c r="M92" s="5">
        <v>45890</v>
      </c>
      <c r="N92" s="2">
        <v>25083.75</v>
      </c>
      <c r="O92" s="4">
        <f t="shared" si="7"/>
        <v>1.3253202025504951E-3</v>
      </c>
    </row>
    <row r="93" spans="1:15" x14ac:dyDescent="0.25">
      <c r="A93" s="3">
        <v>45889</v>
      </c>
      <c r="B93" s="1">
        <v>414.87</v>
      </c>
      <c r="C93" s="4">
        <f t="shared" si="4"/>
        <v>-5.5347944167850605E-3</v>
      </c>
      <c r="E93" s="3">
        <v>45889</v>
      </c>
      <c r="F93" s="1">
        <v>159.46</v>
      </c>
      <c r="G93" s="4">
        <f t="shared" si="5"/>
        <v>3.01924770411377E-3</v>
      </c>
      <c r="I93" s="3">
        <v>45889</v>
      </c>
      <c r="J93" s="1">
        <v>178.62200000000001</v>
      </c>
      <c r="K93" s="4">
        <f t="shared" si="6"/>
        <v>3.500019663031928E-3</v>
      </c>
      <c r="M93" s="5">
        <v>45889</v>
      </c>
      <c r="N93" s="2">
        <v>25050.55</v>
      </c>
      <c r="O93" s="4">
        <f t="shared" si="7"/>
        <v>2.7981657803137772E-3</v>
      </c>
    </row>
    <row r="94" spans="1:15" x14ac:dyDescent="0.25">
      <c r="A94" s="3">
        <v>45888</v>
      </c>
      <c r="B94" s="1">
        <v>417.17899999999997</v>
      </c>
      <c r="C94" s="4">
        <f t="shared" si="4"/>
        <v>6.9082805817344273E-4</v>
      </c>
      <c r="E94" s="3">
        <v>45888</v>
      </c>
      <c r="F94" s="1">
        <v>158.97999999999999</v>
      </c>
      <c r="G94" s="4">
        <f t="shared" si="5"/>
        <v>5.3753241004237395E-3</v>
      </c>
      <c r="I94" s="3">
        <v>45888</v>
      </c>
      <c r="J94" s="1">
        <v>177.999</v>
      </c>
      <c r="K94" s="4">
        <f t="shared" si="6"/>
        <v>6.1613597951488686E-3</v>
      </c>
      <c r="M94" s="5">
        <v>45888</v>
      </c>
      <c r="N94" s="2">
        <v>24980.65</v>
      </c>
      <c r="O94" s="4">
        <f t="shared" si="7"/>
        <v>4.1685174428538474E-3</v>
      </c>
    </row>
    <row r="95" spans="1:15" x14ac:dyDescent="0.25">
      <c r="A95" s="3">
        <v>45887</v>
      </c>
      <c r="B95" s="1">
        <v>416.89100000000002</v>
      </c>
      <c r="C95" s="4">
        <f t="shared" si="4"/>
        <v>1.6843268699393565E-3</v>
      </c>
      <c r="E95" s="3">
        <v>45887</v>
      </c>
      <c r="F95" s="1">
        <v>158.13</v>
      </c>
      <c r="G95" s="4">
        <f t="shared" si="5"/>
        <v>7.5825156110616021E-3</v>
      </c>
      <c r="I95" s="3">
        <v>45887</v>
      </c>
      <c r="J95" s="1">
        <v>176.90899999999999</v>
      </c>
      <c r="K95" s="4">
        <f t="shared" si="6"/>
        <v>1.0037053742199431E-2</v>
      </c>
      <c r="M95" s="5">
        <v>45887</v>
      </c>
      <c r="N95" s="2">
        <v>24876.95</v>
      </c>
      <c r="O95" s="4">
        <f t="shared" si="7"/>
        <v>9.9730830285045258E-3</v>
      </c>
    </row>
    <row r="96" spans="1:15" x14ac:dyDescent="0.25">
      <c r="A96" s="3">
        <v>45883</v>
      </c>
      <c r="B96" s="1">
        <v>416.19</v>
      </c>
      <c r="C96" s="4">
        <f t="shared" si="4"/>
        <v>5.6007654540533025E-3</v>
      </c>
      <c r="E96" s="3">
        <v>45883</v>
      </c>
      <c r="F96" s="1">
        <v>156.94</v>
      </c>
      <c r="G96" s="4">
        <f t="shared" si="5"/>
        <v>-6.3714558776628571E-5</v>
      </c>
      <c r="I96" s="3">
        <v>45883</v>
      </c>
      <c r="J96" s="1">
        <v>175.15100000000001</v>
      </c>
      <c r="K96" s="4">
        <f t="shared" si="6"/>
        <v>-8.1007227898433065E-4</v>
      </c>
      <c r="M96" s="5">
        <v>45883</v>
      </c>
      <c r="N96" s="2">
        <v>24631.3</v>
      </c>
      <c r="O96" s="4">
        <f t="shared" si="7"/>
        <v>4.8539055661511732E-4</v>
      </c>
    </row>
    <row r="97" spans="1:15" x14ac:dyDescent="0.25">
      <c r="A97" s="3">
        <v>45882</v>
      </c>
      <c r="B97" s="1">
        <v>413.87200000000001</v>
      </c>
      <c r="C97" s="4">
        <f t="shared" si="4"/>
        <v>8.9886270829016013E-3</v>
      </c>
      <c r="E97" s="3">
        <v>45882</v>
      </c>
      <c r="F97" s="1">
        <v>156.94999999999999</v>
      </c>
      <c r="G97" s="4">
        <f t="shared" si="5"/>
        <v>9.130071368867565E-3</v>
      </c>
      <c r="I97" s="3">
        <v>45882</v>
      </c>
      <c r="J97" s="1">
        <v>175.29300000000001</v>
      </c>
      <c r="K97" s="4">
        <f t="shared" si="6"/>
        <v>3.5552349546579265E-3</v>
      </c>
      <c r="M97" s="5">
        <v>45882</v>
      </c>
      <c r="N97" s="2">
        <v>24619.35</v>
      </c>
      <c r="O97" s="4">
        <f t="shared" si="7"/>
        <v>5.3884855068320192E-3</v>
      </c>
    </row>
    <row r="98" spans="1:15" x14ac:dyDescent="0.25">
      <c r="A98" s="3">
        <v>45881</v>
      </c>
      <c r="B98" s="1">
        <v>410.185</v>
      </c>
      <c r="C98" s="4">
        <f t="shared" si="4"/>
        <v>-2.6163433926388313E-3</v>
      </c>
      <c r="E98" s="3">
        <v>45881</v>
      </c>
      <c r="F98" s="1">
        <v>155.53</v>
      </c>
      <c r="G98" s="4">
        <f t="shared" si="5"/>
        <v>-2.5012827090814538E-3</v>
      </c>
      <c r="I98" s="3">
        <v>45881</v>
      </c>
      <c r="J98" s="1">
        <v>174.672</v>
      </c>
      <c r="K98" s="4">
        <f t="shared" si="6"/>
        <v>-4.1775158087498099E-4</v>
      </c>
      <c r="M98" s="5">
        <v>45881</v>
      </c>
      <c r="N98" s="2">
        <v>24487.4</v>
      </c>
      <c r="O98" s="4">
        <f t="shared" si="7"/>
        <v>-3.9719260282162772E-3</v>
      </c>
    </row>
    <row r="99" spans="1:15" x14ac:dyDescent="0.25">
      <c r="A99" s="3">
        <v>45880</v>
      </c>
      <c r="B99" s="1">
        <v>411.26100000000002</v>
      </c>
      <c r="C99" s="4">
        <f t="shared" si="4"/>
        <v>5.7740278796774014E-3</v>
      </c>
      <c r="E99" s="3">
        <v>45880</v>
      </c>
      <c r="F99" s="1">
        <v>155.91999999999999</v>
      </c>
      <c r="G99" s="4">
        <f t="shared" si="5"/>
        <v>6.1302187520164697E-3</v>
      </c>
      <c r="I99" s="3">
        <v>45880</v>
      </c>
      <c r="J99" s="1">
        <v>174.745</v>
      </c>
      <c r="K99" s="4">
        <f t="shared" si="6"/>
        <v>8.0996417466150383E-3</v>
      </c>
      <c r="M99" s="5">
        <v>45880</v>
      </c>
      <c r="N99" s="2">
        <v>24585.05</v>
      </c>
      <c r="O99" s="4">
        <f t="shared" si="7"/>
        <v>9.1018047637225763E-3</v>
      </c>
    </row>
    <row r="100" spans="1:15" x14ac:dyDescent="0.25">
      <c r="A100" s="3">
        <v>45877</v>
      </c>
      <c r="B100" s="1">
        <v>408.9</v>
      </c>
      <c r="C100" s="4">
        <f t="shared" si="4"/>
        <v>1.3983821869130164E-3</v>
      </c>
      <c r="E100" s="3">
        <v>45877</v>
      </c>
      <c r="F100" s="1">
        <v>154.97</v>
      </c>
      <c r="G100" s="4">
        <f t="shared" si="5"/>
        <v>-1.2678389398572909E-2</v>
      </c>
      <c r="I100" s="3">
        <v>45877</v>
      </c>
      <c r="J100" s="1">
        <v>173.34100000000001</v>
      </c>
      <c r="K100" s="4">
        <f t="shared" si="6"/>
        <v>-5.9240483099544106E-3</v>
      </c>
      <c r="M100" s="5">
        <v>45877</v>
      </c>
      <c r="N100" s="2">
        <v>24363.3</v>
      </c>
      <c r="O100" s="4">
        <f t="shared" si="7"/>
        <v>-9.4669287673071478E-3</v>
      </c>
    </row>
    <row r="101" spans="1:15" x14ac:dyDescent="0.25">
      <c r="A101" s="3">
        <v>45876</v>
      </c>
      <c r="B101" s="1">
        <v>408.32900000000001</v>
      </c>
      <c r="C101" s="4">
        <f t="shared" si="4"/>
        <v>5.5878441609613638E-3</v>
      </c>
      <c r="E101" s="3">
        <v>45876</v>
      </c>
      <c r="F101" s="1">
        <v>156.96</v>
      </c>
      <c r="G101" s="4">
        <f t="shared" si="5"/>
        <v>3.6447343180512348E-3</v>
      </c>
      <c r="I101" s="3">
        <v>45876</v>
      </c>
      <c r="J101" s="1">
        <v>174.374</v>
      </c>
      <c r="K101" s="4">
        <f t="shared" si="6"/>
        <v>2.7718353920824779E-3</v>
      </c>
      <c r="M101" s="5">
        <v>45876</v>
      </c>
      <c r="N101" s="2">
        <v>24596.15</v>
      </c>
      <c r="O101" s="4">
        <f t="shared" si="7"/>
        <v>8.9321320734758736E-4</v>
      </c>
    </row>
    <row r="102" spans="1:15" x14ac:dyDescent="0.25">
      <c r="A102" s="3">
        <v>45875</v>
      </c>
      <c r="B102" s="1">
        <v>406.06</v>
      </c>
      <c r="C102" s="4">
        <f t="shared" si="4"/>
        <v>-9.7184455364655031E-3</v>
      </c>
      <c r="E102" s="3">
        <v>45875</v>
      </c>
      <c r="F102" s="1">
        <v>156.38999999999999</v>
      </c>
      <c r="G102" s="4">
        <f t="shared" si="5"/>
        <v>-7.9294595280385849E-3</v>
      </c>
      <c r="I102" s="3">
        <v>45875</v>
      </c>
      <c r="J102" s="1">
        <v>173.892</v>
      </c>
      <c r="K102" s="4">
        <f t="shared" si="6"/>
        <v>-5.1262100373024033E-3</v>
      </c>
      <c r="M102" s="5">
        <v>45875</v>
      </c>
      <c r="N102" s="2">
        <v>24574.2</v>
      </c>
      <c r="O102" s="4">
        <f t="shared" si="7"/>
        <v>-3.0568509364268248E-3</v>
      </c>
    </row>
    <row r="103" spans="1:15" x14ac:dyDescent="0.25">
      <c r="A103" s="3">
        <v>45874</v>
      </c>
      <c r="B103" s="1">
        <v>410.04500000000002</v>
      </c>
      <c r="C103" s="4">
        <f t="shared" si="4"/>
        <v>1.2942138871592235E-3</v>
      </c>
      <c r="E103" s="3">
        <v>45874</v>
      </c>
      <c r="F103" s="1">
        <v>157.63999999999999</v>
      </c>
      <c r="G103" s="4">
        <f t="shared" si="5"/>
        <v>-5.5513499873834915E-3</v>
      </c>
      <c r="I103" s="3">
        <v>45874</v>
      </c>
      <c r="J103" s="1">
        <v>174.78800000000001</v>
      </c>
      <c r="K103" s="4">
        <f t="shared" si="6"/>
        <v>-1.7020207212455896E-3</v>
      </c>
      <c r="M103" s="5">
        <v>45874</v>
      </c>
      <c r="N103" s="2">
        <v>24649.55</v>
      </c>
      <c r="O103" s="4">
        <f t="shared" si="7"/>
        <v>-2.9608356675532299E-3</v>
      </c>
    </row>
    <row r="104" spans="1:15" x14ac:dyDescent="0.25">
      <c r="A104" s="3">
        <v>45873</v>
      </c>
      <c r="B104" s="1">
        <v>409.51499999999999</v>
      </c>
      <c r="C104" s="4">
        <f t="shared" si="4"/>
        <v>-3.5040332883162773E-3</v>
      </c>
      <c r="E104" s="3">
        <v>45873</v>
      </c>
      <c r="F104" s="1">
        <v>158.52000000000001</v>
      </c>
      <c r="G104" s="4">
        <f t="shared" si="5"/>
        <v>7.2436141822340705E-3</v>
      </c>
      <c r="I104" s="3">
        <v>45873</v>
      </c>
      <c r="J104" s="1">
        <v>175.08600000000001</v>
      </c>
      <c r="K104" s="4">
        <f t="shared" si="6"/>
        <v>5.0341830789455422E-3</v>
      </c>
      <c r="M104" s="5">
        <v>45873</v>
      </c>
      <c r="N104" s="2">
        <v>24722.75</v>
      </c>
      <c r="O104" s="4">
        <f t="shared" si="7"/>
        <v>6.4073990397044422E-3</v>
      </c>
    </row>
    <row r="105" spans="1:15" x14ac:dyDescent="0.25">
      <c r="A105" s="3">
        <v>45870</v>
      </c>
      <c r="B105" s="1">
        <v>410.95499999999998</v>
      </c>
      <c r="C105" s="4">
        <f t="shared" si="4"/>
        <v>-4.428476947936355E-3</v>
      </c>
      <c r="E105" s="3">
        <v>45870</v>
      </c>
      <c r="F105" s="1">
        <v>157.38</v>
      </c>
      <c r="G105" s="4">
        <f t="shared" si="5"/>
        <v>-1.1245837783501855E-2</v>
      </c>
      <c r="I105" s="3">
        <v>45870</v>
      </c>
      <c r="J105" s="1">
        <v>174.209</v>
      </c>
      <c r="K105" s="4">
        <f t="shared" si="6"/>
        <v>-9.3825166752909972E-3</v>
      </c>
      <c r="M105" s="5">
        <v>45870</v>
      </c>
      <c r="N105" s="2">
        <v>24565.35</v>
      </c>
      <c r="O105" s="4">
        <f t="shared" si="7"/>
        <v>-8.195943613522938E-3</v>
      </c>
    </row>
    <row r="106" spans="1:15" x14ac:dyDescent="0.25">
      <c r="A106" s="3">
        <v>45869</v>
      </c>
      <c r="B106" s="1">
        <v>412.78300000000002</v>
      </c>
      <c r="C106" s="4">
        <f t="shared" si="4"/>
        <v>6.5619421983360571E-3</v>
      </c>
      <c r="E106" s="3">
        <v>45869</v>
      </c>
      <c r="F106" s="1">
        <v>159.16999999999999</v>
      </c>
      <c r="G106" s="4">
        <f t="shared" si="5"/>
        <v>-5.622540138689347E-3</v>
      </c>
      <c r="I106" s="3">
        <v>45869</v>
      </c>
      <c r="J106" s="1">
        <v>175.85900000000001</v>
      </c>
      <c r="K106" s="4">
        <f t="shared" si="6"/>
        <v>-1.0054761526051559E-3</v>
      </c>
      <c r="M106" s="5">
        <v>45869</v>
      </c>
      <c r="N106" s="2">
        <v>24768.35</v>
      </c>
      <c r="O106" s="4">
        <f t="shared" si="7"/>
        <v>-3.4882247269669708E-3</v>
      </c>
    </row>
    <row r="107" spans="1:15" x14ac:dyDescent="0.25">
      <c r="A107" s="3">
        <v>45868</v>
      </c>
      <c r="B107" s="1">
        <v>410.09199999999998</v>
      </c>
      <c r="C107" s="4">
        <f t="shared" si="4"/>
        <v>-9.9179140511830299E-3</v>
      </c>
      <c r="E107" s="3">
        <v>45868</v>
      </c>
      <c r="F107" s="1">
        <v>160.07</v>
      </c>
      <c r="G107" s="4">
        <f t="shared" si="5"/>
        <v>3.699523451216491E-3</v>
      </c>
      <c r="I107" s="3">
        <v>45868</v>
      </c>
      <c r="J107" s="1">
        <v>176.036</v>
      </c>
      <c r="K107" s="4">
        <f t="shared" si="6"/>
        <v>2.9741217224836802E-3</v>
      </c>
      <c r="M107" s="5">
        <v>45868</v>
      </c>
      <c r="N107" s="2">
        <v>24855.05</v>
      </c>
      <c r="O107" s="4">
        <f t="shared" si="7"/>
        <v>1.3677878901419138E-3</v>
      </c>
    </row>
    <row r="108" spans="1:15" x14ac:dyDescent="0.25">
      <c r="A108" s="3">
        <v>45867</v>
      </c>
      <c r="B108" s="1">
        <v>414.2</v>
      </c>
      <c r="C108" s="4">
        <f t="shared" si="4"/>
        <v>-7.1455794966692743E-3</v>
      </c>
      <c r="E108" s="3">
        <v>45867</v>
      </c>
      <c r="F108" s="1">
        <v>159.47999999999999</v>
      </c>
      <c r="G108" s="4">
        <f t="shared" si="5"/>
        <v>5.6119553565798785E-3</v>
      </c>
      <c r="I108" s="3">
        <v>45867</v>
      </c>
      <c r="J108" s="1">
        <v>175.51400000000001</v>
      </c>
      <c r="K108" s="4">
        <f t="shared" si="6"/>
        <v>5.0160904270548645E-3</v>
      </c>
      <c r="M108" s="5">
        <v>45867</v>
      </c>
      <c r="N108" s="2">
        <v>24821.1</v>
      </c>
      <c r="O108" s="4">
        <f t="shared" si="7"/>
        <v>5.6805059783069378E-3</v>
      </c>
    </row>
    <row r="109" spans="1:15" x14ac:dyDescent="0.25">
      <c r="A109" s="3">
        <v>45866</v>
      </c>
      <c r="B109" s="1">
        <v>417.18099999999998</v>
      </c>
      <c r="C109" s="4">
        <f t="shared" si="4"/>
        <v>-1.4619812962268774E-4</v>
      </c>
      <c r="E109" s="3">
        <v>45866</v>
      </c>
      <c r="F109" s="1">
        <v>158.59</v>
      </c>
      <c r="G109" s="4">
        <f t="shared" si="5"/>
        <v>-5.4559137087670795E-3</v>
      </c>
      <c r="I109" s="3">
        <v>45866</v>
      </c>
      <c r="J109" s="1">
        <v>174.63800000000001</v>
      </c>
      <c r="K109" s="4">
        <f t="shared" si="6"/>
        <v>-4.1683535858675347E-3</v>
      </c>
      <c r="M109" s="5">
        <v>45866</v>
      </c>
      <c r="N109" s="2">
        <v>24680.9</v>
      </c>
      <c r="O109" s="4">
        <f t="shared" si="7"/>
        <v>-6.2849780569311786E-3</v>
      </c>
    </row>
    <row r="110" spans="1:15" x14ac:dyDescent="0.25">
      <c r="A110" s="3">
        <v>45863</v>
      </c>
      <c r="B110" s="1">
        <v>417.24200000000002</v>
      </c>
      <c r="C110" s="4">
        <f t="shared" si="4"/>
        <v>5.8192793157647582E-3</v>
      </c>
      <c r="E110" s="3">
        <v>45863</v>
      </c>
      <c r="F110" s="1">
        <v>159.46</v>
      </c>
      <c r="G110" s="4">
        <f t="shared" si="5"/>
        <v>-9.195973654778089E-3</v>
      </c>
      <c r="I110" s="3">
        <v>45863</v>
      </c>
      <c r="J110" s="1">
        <v>175.369</v>
      </c>
      <c r="K110" s="4">
        <f t="shared" si="6"/>
        <v>-1.5068631635701935E-2</v>
      </c>
      <c r="M110" s="5">
        <v>45863</v>
      </c>
      <c r="N110" s="2">
        <v>24837</v>
      </c>
      <c r="O110" s="4">
        <f t="shared" si="7"/>
        <v>-8.9816894833233407E-3</v>
      </c>
    </row>
    <row r="111" spans="1:15" x14ac:dyDescent="0.25">
      <c r="A111" s="3">
        <v>45862</v>
      </c>
      <c r="B111" s="1">
        <v>414.82799999999997</v>
      </c>
      <c r="C111" s="4">
        <f t="shared" si="4"/>
        <v>-5.8356480205530303E-3</v>
      </c>
      <c r="E111" s="3">
        <v>45862</v>
      </c>
      <c r="F111" s="1">
        <v>160.94</v>
      </c>
      <c r="G111" s="4">
        <f t="shared" si="5"/>
        <v>-4.3922053819982487E-3</v>
      </c>
      <c r="I111" s="3">
        <v>45862</v>
      </c>
      <c r="J111" s="1">
        <v>178.05199999999999</v>
      </c>
      <c r="K111" s="4">
        <f t="shared" si="6"/>
        <v>-4.2725483178239765E-3</v>
      </c>
      <c r="M111" s="5">
        <v>45862</v>
      </c>
      <c r="N111" s="2">
        <v>25062.1</v>
      </c>
      <c r="O111" s="4">
        <f t="shared" si="7"/>
        <v>-6.2569637468825601E-3</v>
      </c>
    </row>
    <row r="112" spans="1:15" x14ac:dyDescent="0.25">
      <c r="A112" s="3">
        <v>45861</v>
      </c>
      <c r="B112" s="1">
        <v>417.26299999999998</v>
      </c>
      <c r="C112" s="4">
        <f t="shared" si="4"/>
        <v>-9.3400475312027664E-3</v>
      </c>
      <c r="E112" s="3">
        <v>45861</v>
      </c>
      <c r="F112" s="1">
        <v>161.65</v>
      </c>
      <c r="G112" s="4">
        <f t="shared" si="5"/>
        <v>2.1698698078114198E-3</v>
      </c>
      <c r="I112" s="3">
        <v>45861</v>
      </c>
      <c r="J112" s="1">
        <v>178.816</v>
      </c>
      <c r="K112" s="4">
        <f t="shared" si="6"/>
        <v>3.8398491006668145E-3</v>
      </c>
      <c r="M112" s="5">
        <v>45861</v>
      </c>
      <c r="N112" s="2">
        <v>25219.9</v>
      </c>
      <c r="O112" s="4">
        <f t="shared" si="7"/>
        <v>6.3445446891372548E-3</v>
      </c>
    </row>
    <row r="113" spans="1:15" x14ac:dyDescent="0.25">
      <c r="A113" s="3">
        <v>45860</v>
      </c>
      <c r="B113" s="1">
        <v>421.197</v>
      </c>
      <c r="C113" s="4">
        <f t="shared" si="4"/>
        <v>-5.62350824757607E-3</v>
      </c>
      <c r="E113" s="3">
        <v>45860</v>
      </c>
      <c r="F113" s="1">
        <v>161.30000000000001</v>
      </c>
      <c r="G113" s="4">
        <f t="shared" si="5"/>
        <v>1.4279505804930537E-3</v>
      </c>
      <c r="I113" s="3">
        <v>45860</v>
      </c>
      <c r="J113" s="1">
        <v>178.13200000000001</v>
      </c>
      <c r="K113" s="4">
        <f t="shared" si="6"/>
        <v>-1.2391156863075237E-3</v>
      </c>
      <c r="M113" s="5">
        <v>45860</v>
      </c>
      <c r="N113" s="2">
        <v>25060.9</v>
      </c>
      <c r="O113" s="4">
        <f t="shared" si="7"/>
        <v>-1.1876910568456855E-3</v>
      </c>
    </row>
    <row r="114" spans="1:15" x14ac:dyDescent="0.25">
      <c r="A114" s="3">
        <v>45859</v>
      </c>
      <c r="B114" s="1">
        <v>423.57900000000001</v>
      </c>
      <c r="C114" s="4">
        <f t="shared" si="4"/>
        <v>5.1684737340442766E-3</v>
      </c>
      <c r="E114" s="3">
        <v>45859</v>
      </c>
      <c r="F114" s="1">
        <v>161.07</v>
      </c>
      <c r="G114" s="4">
        <f t="shared" si="5"/>
        <v>8.6417433777945529E-3</v>
      </c>
      <c r="I114" s="3">
        <v>45859</v>
      </c>
      <c r="J114" s="1">
        <v>178.35300000000001</v>
      </c>
      <c r="K114" s="4">
        <f t="shared" si="6"/>
        <v>3.7651110961032241E-3</v>
      </c>
      <c r="M114" s="5">
        <v>45859</v>
      </c>
      <c r="N114" s="2">
        <v>25090.7</v>
      </c>
      <c r="O114" s="4">
        <f t="shared" si="7"/>
        <v>4.8981913138206323E-3</v>
      </c>
    </row>
    <row r="115" spans="1:15" x14ac:dyDescent="0.25">
      <c r="A115" s="3">
        <v>45856</v>
      </c>
      <c r="B115" s="1">
        <v>421.40100000000001</v>
      </c>
      <c r="C115" s="4">
        <f t="shared" si="4"/>
        <v>-2.7664055659416542E-3</v>
      </c>
      <c r="E115" s="3">
        <v>45856</v>
      </c>
      <c r="F115" s="1">
        <v>159.69</v>
      </c>
      <c r="G115" s="4">
        <f t="shared" si="5"/>
        <v>-8.075035716504253E-3</v>
      </c>
      <c r="I115" s="3">
        <v>45856</v>
      </c>
      <c r="J115" s="1">
        <v>177.684</v>
      </c>
      <c r="K115" s="4">
        <f t="shared" si="6"/>
        <v>-6.6915994432052983E-3</v>
      </c>
      <c r="M115" s="5">
        <v>45856</v>
      </c>
      <c r="N115" s="2">
        <v>24968.400000000001</v>
      </c>
      <c r="O115" s="4">
        <f t="shared" si="7"/>
        <v>-5.6966045369741813E-3</v>
      </c>
    </row>
    <row r="116" spans="1:15" x14ac:dyDescent="0.25">
      <c r="A116" s="3">
        <v>45855</v>
      </c>
      <c r="B116" s="1">
        <v>422.57</v>
      </c>
      <c r="C116" s="4">
        <f t="shared" si="4"/>
        <v>5.4431814685562685E-5</v>
      </c>
      <c r="E116" s="3">
        <v>45855</v>
      </c>
      <c r="F116" s="1">
        <v>160.99</v>
      </c>
      <c r="G116" s="4">
        <f t="shared" si="5"/>
        <v>-2.045623605256508E-3</v>
      </c>
      <c r="I116" s="3">
        <v>45855</v>
      </c>
      <c r="J116" s="1">
        <v>178.881</v>
      </c>
      <c r="K116" s="4">
        <f t="shared" si="6"/>
        <v>-2.1643452019033393E-3</v>
      </c>
      <c r="M116" s="5">
        <v>45855</v>
      </c>
      <c r="N116" s="2">
        <v>25111.45</v>
      </c>
      <c r="O116" s="4">
        <f t="shared" si="7"/>
        <v>-3.9901555010400935E-3</v>
      </c>
    </row>
    <row r="117" spans="1:15" x14ac:dyDescent="0.25">
      <c r="A117" s="3">
        <v>45854</v>
      </c>
      <c r="B117" s="1">
        <v>422.54700000000003</v>
      </c>
      <c r="C117" s="4">
        <f t="shared" si="4"/>
        <v>-3.7041578051391078E-3</v>
      </c>
      <c r="E117" s="3">
        <v>45854</v>
      </c>
      <c r="F117" s="1">
        <v>161.32</v>
      </c>
      <c r="G117" s="4">
        <f t="shared" si="5"/>
        <v>1.4277732944316668E-3</v>
      </c>
      <c r="I117" s="3">
        <v>45854</v>
      </c>
      <c r="J117" s="1">
        <v>179.26900000000001</v>
      </c>
      <c r="K117" s="4">
        <f t="shared" si="6"/>
        <v>2.3651633248715775E-3</v>
      </c>
      <c r="M117" s="5">
        <v>45854</v>
      </c>
      <c r="N117" s="2">
        <v>25212.05</v>
      </c>
      <c r="O117" s="4">
        <f t="shared" si="7"/>
        <v>6.4494876130138934E-4</v>
      </c>
    </row>
    <row r="118" spans="1:15" x14ac:dyDescent="0.25">
      <c r="A118" s="3">
        <v>45853</v>
      </c>
      <c r="B118" s="1">
        <v>424.11799999999999</v>
      </c>
      <c r="C118" s="4">
        <f t="shared" si="4"/>
        <v>-1.6877140536913915E-3</v>
      </c>
      <c r="E118" s="3">
        <v>45853</v>
      </c>
      <c r="F118" s="1">
        <v>161.09</v>
      </c>
      <c r="G118" s="4">
        <f t="shared" si="5"/>
        <v>7.1901963236213895E-3</v>
      </c>
      <c r="I118" s="3">
        <v>45853</v>
      </c>
      <c r="J118" s="1">
        <v>178.846</v>
      </c>
      <c r="K118" s="4">
        <f t="shared" si="6"/>
        <v>6.2225722966129382E-3</v>
      </c>
      <c r="M118" s="5">
        <v>45853</v>
      </c>
      <c r="N118" s="2">
        <v>25195.8</v>
      </c>
      <c r="O118" s="4">
        <f t="shared" si="7"/>
        <v>4.5251033597397683E-3</v>
      </c>
    </row>
    <row r="119" spans="1:15" x14ac:dyDescent="0.25">
      <c r="A119" s="3">
        <v>45852</v>
      </c>
      <c r="B119" s="1">
        <v>424.83499999999998</v>
      </c>
      <c r="C119" s="4">
        <f t="shared" si="4"/>
        <v>1.834659019895879E-3</v>
      </c>
      <c r="E119" s="3">
        <v>45852</v>
      </c>
      <c r="F119" s="1">
        <v>159.94</v>
      </c>
      <c r="G119" s="4">
        <f t="shared" si="5"/>
        <v>3.8915390409239858E-3</v>
      </c>
      <c r="I119" s="3">
        <v>45852</v>
      </c>
      <c r="J119" s="1">
        <v>177.74</v>
      </c>
      <c r="K119" s="4">
        <f t="shared" si="6"/>
        <v>1.053206648155891E-3</v>
      </c>
      <c r="M119" s="5">
        <v>45852</v>
      </c>
      <c r="N119" s="2">
        <v>25082.3</v>
      </c>
      <c r="O119" s="4">
        <f t="shared" si="7"/>
        <v>-2.68590071113739E-3</v>
      </c>
    </row>
    <row r="120" spans="1:15" x14ac:dyDescent="0.25">
      <c r="A120" s="3">
        <v>45849</v>
      </c>
      <c r="B120" s="1">
        <v>424.05700000000002</v>
      </c>
      <c r="C120" s="4">
        <f t="shared" si="4"/>
        <v>4.0939743516887894E-3</v>
      </c>
      <c r="E120" s="3">
        <v>45849</v>
      </c>
      <c r="F120" s="1">
        <v>159.32</v>
      </c>
      <c r="G120" s="4">
        <f t="shared" si="5"/>
        <v>-4.6232662751468645E-3</v>
      </c>
      <c r="I120" s="3">
        <v>45849</v>
      </c>
      <c r="J120" s="1">
        <v>177.553</v>
      </c>
      <c r="K120" s="4">
        <f t="shared" si="6"/>
        <v>-6.5464433788601228E-3</v>
      </c>
      <c r="M120" s="5">
        <v>45849</v>
      </c>
      <c r="N120" s="2">
        <v>25149.85</v>
      </c>
      <c r="O120" s="4">
        <f t="shared" si="7"/>
        <v>-8.1008864041963724E-3</v>
      </c>
    </row>
    <row r="121" spans="1:15" x14ac:dyDescent="0.25">
      <c r="A121" s="3">
        <v>45848</v>
      </c>
      <c r="B121" s="1">
        <v>422.32799999999997</v>
      </c>
      <c r="C121" s="4">
        <f t="shared" si="4"/>
        <v>3.1265099621968773E-4</v>
      </c>
      <c r="E121" s="3">
        <v>45848</v>
      </c>
      <c r="F121" s="1">
        <v>160.06</v>
      </c>
      <c r="G121" s="4">
        <f t="shared" si="5"/>
        <v>-3.6725801431684024E-3</v>
      </c>
      <c r="I121" s="3">
        <v>45848</v>
      </c>
      <c r="J121" s="1">
        <v>178.72300000000001</v>
      </c>
      <c r="K121" s="4">
        <f t="shared" si="6"/>
        <v>-3.4904013961604141E-3</v>
      </c>
      <c r="M121" s="5">
        <v>45848</v>
      </c>
      <c r="N121" s="2">
        <v>25355.25</v>
      </c>
      <c r="O121" s="4">
        <f t="shared" si="7"/>
        <v>-4.7436617064621212E-3</v>
      </c>
    </row>
    <row r="122" spans="1:15" x14ac:dyDescent="0.25">
      <c r="A122" s="3">
        <v>45847</v>
      </c>
      <c r="B122" s="1">
        <v>422.19600000000003</v>
      </c>
      <c r="C122" s="4">
        <f t="shared" si="4"/>
        <v>-5.404132017244212E-3</v>
      </c>
      <c r="E122" s="3">
        <v>45847</v>
      </c>
      <c r="F122" s="1">
        <v>160.65</v>
      </c>
      <c r="G122" s="4">
        <f t="shared" si="5"/>
        <v>4.9822507317687226E-4</v>
      </c>
      <c r="I122" s="3">
        <v>45847</v>
      </c>
      <c r="J122" s="1">
        <v>179.34899999999999</v>
      </c>
      <c r="K122" s="4">
        <f t="shared" si="6"/>
        <v>1.0605104962631007E-3</v>
      </c>
      <c r="M122" s="5">
        <v>45847</v>
      </c>
      <c r="N122" s="2">
        <v>25476.1</v>
      </c>
      <c r="O122" s="4">
        <f t="shared" si="7"/>
        <v>-1.8180037222059742E-3</v>
      </c>
    </row>
    <row r="123" spans="1:15" x14ac:dyDescent="0.25">
      <c r="A123" s="3">
        <v>45846</v>
      </c>
      <c r="B123" s="1">
        <v>424.49</v>
      </c>
      <c r="C123" s="4">
        <f t="shared" si="4"/>
        <v>-3.7129874762951154E-3</v>
      </c>
      <c r="E123" s="3">
        <v>45846</v>
      </c>
      <c r="F123" s="1">
        <v>160.57</v>
      </c>
      <c r="G123" s="4">
        <f t="shared" si="5"/>
        <v>1.1222644803292603E-3</v>
      </c>
      <c r="I123" s="3">
        <v>45846</v>
      </c>
      <c r="J123" s="1">
        <v>179.15899999999999</v>
      </c>
      <c r="K123" s="4">
        <f t="shared" si="6"/>
        <v>3.7199921566428706E-3</v>
      </c>
      <c r="M123" s="5">
        <v>45846</v>
      </c>
      <c r="N123" s="2">
        <v>25522.5</v>
      </c>
      <c r="O123" s="4">
        <f t="shared" si="7"/>
        <v>2.403647889149374E-3</v>
      </c>
    </row>
    <row r="124" spans="1:15" x14ac:dyDescent="0.25">
      <c r="A124" s="3">
        <v>45845</v>
      </c>
      <c r="B124" s="1">
        <v>426.072</v>
      </c>
      <c r="C124" s="4">
        <f t="shared" si="4"/>
        <v>-8.7233024734789666E-4</v>
      </c>
      <c r="E124" s="3">
        <v>45845</v>
      </c>
      <c r="F124" s="1">
        <v>160.38999999999999</v>
      </c>
      <c r="G124" s="4">
        <f t="shared" si="5"/>
        <v>-2.6117778745103903E-3</v>
      </c>
      <c r="I124" s="3">
        <v>45845</v>
      </c>
      <c r="J124" s="1">
        <v>178.495</v>
      </c>
      <c r="K124" s="4">
        <f t="shared" si="6"/>
        <v>-7.5015814901269184E-4</v>
      </c>
      <c r="M124" s="5">
        <v>45845</v>
      </c>
      <c r="N124" s="2">
        <v>25461.3</v>
      </c>
      <c r="O124" s="4">
        <f t="shared" si="7"/>
        <v>1.1782726522913123E-5</v>
      </c>
    </row>
    <row r="125" spans="1:15" x14ac:dyDescent="0.25">
      <c r="A125" s="3">
        <v>45842</v>
      </c>
      <c r="B125" s="1">
        <v>426.44400000000002</v>
      </c>
      <c r="C125" s="4">
        <f t="shared" si="4"/>
        <v>1.6159490412350763E-3</v>
      </c>
      <c r="E125" s="3">
        <v>45842</v>
      </c>
      <c r="F125" s="1">
        <v>160.81</v>
      </c>
      <c r="G125" s="4">
        <f t="shared" si="5"/>
        <v>3.1189570207723616E-3</v>
      </c>
      <c r="I125" s="3">
        <v>45842</v>
      </c>
      <c r="J125" s="1">
        <v>178.62899999999999</v>
      </c>
      <c r="K125" s="4">
        <f t="shared" si="6"/>
        <v>3.4547844551551243E-3</v>
      </c>
      <c r="M125" s="5">
        <v>45842</v>
      </c>
      <c r="N125" s="2">
        <v>25461</v>
      </c>
      <c r="O125" s="4">
        <f t="shared" si="7"/>
        <v>2.1924559048702719E-3</v>
      </c>
    </row>
    <row r="126" spans="1:15" x14ac:dyDescent="0.25">
      <c r="A126" s="3">
        <v>45841</v>
      </c>
      <c r="B126" s="1">
        <v>425.75599999999997</v>
      </c>
      <c r="C126" s="4">
        <f t="shared" si="4"/>
        <v>-1.5969038851737505E-4</v>
      </c>
      <c r="E126" s="3">
        <v>45841</v>
      </c>
      <c r="F126" s="1">
        <v>160.31</v>
      </c>
      <c r="G126" s="4">
        <f t="shared" si="5"/>
        <v>1.3116801998751537E-3</v>
      </c>
      <c r="I126" s="3">
        <v>45841</v>
      </c>
      <c r="J126" s="1">
        <v>178.01400000000001</v>
      </c>
      <c r="K126" s="4">
        <f t="shared" si="6"/>
        <v>-2.4149570081477556E-4</v>
      </c>
      <c r="M126" s="5">
        <v>45841</v>
      </c>
      <c r="N126" s="2">
        <v>25405.3</v>
      </c>
      <c r="O126" s="4">
        <f t="shared" si="7"/>
        <v>-1.8897278948981633E-3</v>
      </c>
    </row>
    <row r="127" spans="1:15" x14ac:dyDescent="0.25">
      <c r="A127" s="3">
        <v>45840</v>
      </c>
      <c r="B127" s="1">
        <v>425.82400000000001</v>
      </c>
      <c r="C127" s="4">
        <f t="shared" si="4"/>
        <v>2.3397594331850957E-3</v>
      </c>
      <c r="E127" s="3">
        <v>45840</v>
      </c>
      <c r="F127" s="1">
        <v>160.1</v>
      </c>
      <c r="G127" s="4">
        <f t="shared" si="5"/>
        <v>-3.1133250311332628E-3</v>
      </c>
      <c r="I127" s="3">
        <v>45840</v>
      </c>
      <c r="J127" s="1">
        <v>178.05699999999999</v>
      </c>
      <c r="K127" s="4">
        <f t="shared" si="6"/>
        <v>-2.5320852169918862E-3</v>
      </c>
      <c r="M127" s="5">
        <v>45840</v>
      </c>
      <c r="N127" s="2">
        <v>25453.4</v>
      </c>
      <c r="O127" s="4">
        <f t="shared" si="7"/>
        <v>-3.4609933520737268E-3</v>
      </c>
    </row>
    <row r="128" spans="1:15" x14ac:dyDescent="0.25">
      <c r="A128" s="3">
        <v>45839</v>
      </c>
      <c r="B128" s="1">
        <v>424.83</v>
      </c>
      <c r="C128" s="4">
        <f t="shared" si="4"/>
        <v>-4.7760997381385284E-4</v>
      </c>
      <c r="E128" s="3">
        <v>45839</v>
      </c>
      <c r="F128" s="1">
        <v>160.6</v>
      </c>
      <c r="G128" s="4">
        <f t="shared" si="5"/>
        <v>3.7373863211653813E-4</v>
      </c>
      <c r="I128" s="3">
        <v>45839</v>
      </c>
      <c r="J128" s="1">
        <v>178.50899999999999</v>
      </c>
      <c r="K128" s="4">
        <f t="shared" si="6"/>
        <v>-2.949111077598543E-3</v>
      </c>
      <c r="M128" s="5">
        <v>45839</v>
      </c>
      <c r="N128" s="2">
        <v>25541.8</v>
      </c>
      <c r="O128" s="4">
        <f t="shared" si="7"/>
        <v>9.6993970698022736E-4</v>
      </c>
    </row>
    <row r="129" spans="1:15" x14ac:dyDescent="0.25">
      <c r="A129" s="3">
        <v>45838</v>
      </c>
      <c r="B129" s="1">
        <v>425.03300000000002</v>
      </c>
      <c r="C129" s="4">
        <f t="shared" si="4"/>
        <v>6.8234651909193644E-5</v>
      </c>
      <c r="E129" s="3">
        <v>45838</v>
      </c>
      <c r="F129" s="1">
        <v>160.54</v>
      </c>
      <c r="G129" s="4">
        <f t="shared" si="5"/>
        <v>-1.1821066384619661E-3</v>
      </c>
      <c r="I129" s="3">
        <v>45838</v>
      </c>
      <c r="J129" s="1">
        <v>179.03700000000001</v>
      </c>
      <c r="K129" s="4">
        <f t="shared" si="6"/>
        <v>2.6817290448022391E-4</v>
      </c>
      <c r="M129" s="5">
        <v>45838</v>
      </c>
      <c r="N129" s="2">
        <v>25517.05</v>
      </c>
      <c r="O129" s="4">
        <f t="shared" si="7"/>
        <v>-4.7098424981862896E-3</v>
      </c>
    </row>
    <row r="130" spans="1:15" x14ac:dyDescent="0.25">
      <c r="A130" s="3">
        <v>45835</v>
      </c>
      <c r="B130" s="1">
        <v>425.00400000000002</v>
      </c>
      <c r="C130" s="4">
        <f t="shared" si="4"/>
        <v>2.1079436938529206E-3</v>
      </c>
      <c r="E130" s="3">
        <v>45835</v>
      </c>
      <c r="F130" s="1">
        <v>160.72999999999999</v>
      </c>
      <c r="G130" s="4">
        <f t="shared" si="5"/>
        <v>3.4962851969781994E-3</v>
      </c>
      <c r="I130" s="3">
        <v>45835</v>
      </c>
      <c r="J130" s="1">
        <v>178.989</v>
      </c>
      <c r="K130" s="4">
        <f t="shared" si="6"/>
        <v>5.5222857656482827E-3</v>
      </c>
      <c r="M130" s="5">
        <v>45835</v>
      </c>
      <c r="N130" s="2">
        <v>25637.8</v>
      </c>
      <c r="O130" s="4">
        <f t="shared" si="7"/>
        <v>3.4756741946846414E-3</v>
      </c>
    </row>
    <row r="131" spans="1:15" x14ac:dyDescent="0.25">
      <c r="A131" s="3">
        <v>45834</v>
      </c>
      <c r="B131" s="1">
        <v>424.11</v>
      </c>
      <c r="C131" s="4">
        <f t="shared" ref="C131:C194" si="8">(B131/B132)-1</f>
        <v>-1.2551719915315784E-3</v>
      </c>
      <c r="E131" s="3">
        <v>45834</v>
      </c>
      <c r="F131" s="1">
        <v>160.16999999999999</v>
      </c>
      <c r="G131" s="4">
        <f t="shared" ref="G131:G194" si="9">(F131/F132)-1</f>
        <v>7.6753696130857918E-3</v>
      </c>
      <c r="I131" s="3">
        <v>45834</v>
      </c>
      <c r="J131" s="1">
        <v>178.006</v>
      </c>
      <c r="K131" s="4">
        <f t="shared" ref="K131:K194" si="10">(J131/J132)-1</f>
        <v>9.779784663209945E-3</v>
      </c>
      <c r="M131" s="5">
        <v>45834</v>
      </c>
      <c r="N131" s="2">
        <v>25549</v>
      </c>
      <c r="O131" s="4">
        <f t="shared" ref="O131:O194" si="11">(N131/N132)-1</f>
        <v>1.2052010814129765E-2</v>
      </c>
    </row>
    <row r="132" spans="1:15" x14ac:dyDescent="0.25">
      <c r="A132" s="3">
        <v>45833</v>
      </c>
      <c r="B132" s="1">
        <v>424.64299999999997</v>
      </c>
      <c r="C132" s="4">
        <f t="shared" si="8"/>
        <v>4.9056960976878727E-3</v>
      </c>
      <c r="E132" s="3">
        <v>45833</v>
      </c>
      <c r="F132" s="1">
        <v>158.94999999999999</v>
      </c>
      <c r="G132" s="4">
        <f t="shared" si="9"/>
        <v>7.9264426125555953E-3</v>
      </c>
      <c r="I132" s="3">
        <v>45833</v>
      </c>
      <c r="J132" s="1">
        <v>176.28200000000001</v>
      </c>
      <c r="K132" s="4">
        <f t="shared" si="10"/>
        <v>6.8021771535944353E-3</v>
      </c>
      <c r="M132" s="5">
        <v>45833</v>
      </c>
      <c r="N132" s="2">
        <v>25244.75</v>
      </c>
      <c r="O132" s="4">
        <f t="shared" si="11"/>
        <v>8.001804798287937E-3</v>
      </c>
    </row>
    <row r="133" spans="1:15" x14ac:dyDescent="0.25">
      <c r="A133" s="3">
        <v>45832</v>
      </c>
      <c r="B133" s="1">
        <v>422.57</v>
      </c>
      <c r="C133" s="4">
        <f t="shared" si="8"/>
        <v>8.5226933715831787E-3</v>
      </c>
      <c r="E133" s="3">
        <v>45832</v>
      </c>
      <c r="F133" s="1">
        <v>157.69999999999999</v>
      </c>
      <c r="G133" s="4">
        <f t="shared" si="9"/>
        <v>3.7553306600468517E-3</v>
      </c>
      <c r="I133" s="3">
        <v>45832</v>
      </c>
      <c r="J133" s="1">
        <v>175.09100000000001</v>
      </c>
      <c r="K133" s="4">
        <f t="shared" si="10"/>
        <v>5.0917315331451274E-3</v>
      </c>
      <c r="M133" s="5">
        <v>45832</v>
      </c>
      <c r="N133" s="2">
        <v>25044.35</v>
      </c>
      <c r="O133" s="4">
        <f t="shared" si="11"/>
        <v>2.9012610173835274E-3</v>
      </c>
    </row>
    <row r="134" spans="1:15" x14ac:dyDescent="0.25">
      <c r="A134" s="3">
        <v>45831</v>
      </c>
      <c r="B134" s="1">
        <v>418.99900000000002</v>
      </c>
      <c r="C134" s="4">
        <f t="shared" si="8"/>
        <v>6.8049605086419884E-3</v>
      </c>
      <c r="E134" s="3">
        <v>45831</v>
      </c>
      <c r="F134" s="1">
        <v>157.11000000000001</v>
      </c>
      <c r="G134" s="4">
        <f t="shared" si="9"/>
        <v>3.1834967528343583E-4</v>
      </c>
      <c r="I134" s="3">
        <v>45831</v>
      </c>
      <c r="J134" s="1">
        <v>174.20400000000001</v>
      </c>
      <c r="K134" s="4">
        <f t="shared" si="10"/>
        <v>7.2381346293037829E-4</v>
      </c>
      <c r="M134" s="5">
        <v>45831</v>
      </c>
      <c r="N134" s="2">
        <v>24971.9</v>
      </c>
      <c r="O134" s="4">
        <f t="shared" si="11"/>
        <v>-5.594845574297902E-3</v>
      </c>
    </row>
    <row r="135" spans="1:15" x14ac:dyDescent="0.25">
      <c r="A135" s="3">
        <v>45828</v>
      </c>
      <c r="B135" s="1">
        <v>416.16699999999997</v>
      </c>
      <c r="C135" s="4">
        <f t="shared" si="8"/>
        <v>5.5087499728185829E-3</v>
      </c>
      <c r="E135" s="3">
        <v>45828</v>
      </c>
      <c r="F135" s="1">
        <v>157.06</v>
      </c>
      <c r="G135" s="4">
        <f t="shared" si="9"/>
        <v>1.1723782530275617E-2</v>
      </c>
      <c r="I135" s="3">
        <v>45828</v>
      </c>
      <c r="J135" s="1">
        <v>174.078</v>
      </c>
      <c r="K135" s="4">
        <f t="shared" si="10"/>
        <v>9.7331786542922405E-3</v>
      </c>
      <c r="M135" s="5">
        <v>45828</v>
      </c>
      <c r="N135" s="2">
        <v>25112.400000000001</v>
      </c>
      <c r="O135" s="4">
        <f t="shared" si="11"/>
        <v>1.2872455204541611E-2</v>
      </c>
    </row>
    <row r="136" spans="1:15" x14ac:dyDescent="0.25">
      <c r="A136" s="3">
        <v>45827</v>
      </c>
      <c r="B136" s="1">
        <v>413.887</v>
      </c>
      <c r="C136" s="4">
        <f t="shared" si="8"/>
        <v>-7.0742189386263643E-4</v>
      </c>
      <c r="E136" s="3">
        <v>45827</v>
      </c>
      <c r="F136" s="1">
        <v>155.24</v>
      </c>
      <c r="G136" s="4">
        <f t="shared" si="9"/>
        <v>-6.4639999999999143E-3</v>
      </c>
      <c r="I136" s="3">
        <v>45827</v>
      </c>
      <c r="J136" s="1">
        <v>172.4</v>
      </c>
      <c r="K136" s="4">
        <f t="shared" si="10"/>
        <v>-6.6492273298224269E-3</v>
      </c>
      <c r="M136" s="5">
        <v>45827</v>
      </c>
      <c r="N136" s="2">
        <v>24793.25</v>
      </c>
      <c r="O136" s="4">
        <f t="shared" si="11"/>
        <v>-7.5769636124378703E-4</v>
      </c>
    </row>
    <row r="137" spans="1:15" x14ac:dyDescent="0.25">
      <c r="A137" s="3">
        <v>45826</v>
      </c>
      <c r="B137" s="1">
        <v>414.18</v>
      </c>
      <c r="C137" s="4">
        <f t="shared" si="8"/>
        <v>9.1662646375159085E-3</v>
      </c>
      <c r="E137" s="3">
        <v>45826</v>
      </c>
      <c r="F137" s="1">
        <v>156.25</v>
      </c>
      <c r="G137" s="4">
        <f t="shared" si="9"/>
        <v>-1.9196314307656781E-4</v>
      </c>
      <c r="I137" s="3">
        <v>45826</v>
      </c>
      <c r="J137" s="1">
        <v>173.554</v>
      </c>
      <c r="K137" s="4">
        <f t="shared" si="10"/>
        <v>-3.6286769152782394E-4</v>
      </c>
      <c r="M137" s="5">
        <v>45826</v>
      </c>
      <c r="N137" s="2">
        <v>24812.05</v>
      </c>
      <c r="O137" s="4">
        <f t="shared" si="11"/>
        <v>-1.6637562667483063E-3</v>
      </c>
    </row>
    <row r="138" spans="1:15" x14ac:dyDescent="0.25">
      <c r="A138" s="3">
        <v>45825</v>
      </c>
      <c r="B138" s="1">
        <v>410.41800000000001</v>
      </c>
      <c r="C138" s="4">
        <f t="shared" si="8"/>
        <v>-5.2763605957416582E-3</v>
      </c>
      <c r="E138" s="3">
        <v>45825</v>
      </c>
      <c r="F138" s="1">
        <v>156.28</v>
      </c>
      <c r="G138" s="4">
        <f t="shared" si="9"/>
        <v>-5.0929462694169203E-3</v>
      </c>
      <c r="I138" s="3">
        <v>45825</v>
      </c>
      <c r="J138" s="1">
        <v>173.61699999999999</v>
      </c>
      <c r="K138" s="4">
        <f t="shared" si="10"/>
        <v>-1.690519863608464E-3</v>
      </c>
      <c r="M138" s="5">
        <v>45825</v>
      </c>
      <c r="N138" s="2">
        <v>24853.4</v>
      </c>
      <c r="O138" s="4">
        <f t="shared" si="11"/>
        <v>-3.7319864510051426E-3</v>
      </c>
    </row>
    <row r="139" spans="1:15" x14ac:dyDescent="0.25">
      <c r="A139" s="3">
        <v>45824</v>
      </c>
      <c r="B139" s="1">
        <v>412.59500000000003</v>
      </c>
      <c r="C139" s="4">
        <f t="shared" si="8"/>
        <v>-2.6782498555726342E-3</v>
      </c>
      <c r="E139" s="3">
        <v>45824</v>
      </c>
      <c r="F139" s="1">
        <v>157.08000000000001</v>
      </c>
      <c r="G139" s="4">
        <f t="shared" si="9"/>
        <v>9.187279151943617E-3</v>
      </c>
      <c r="I139" s="3">
        <v>45824</v>
      </c>
      <c r="J139" s="1">
        <v>173.911</v>
      </c>
      <c r="K139" s="4">
        <f t="shared" si="10"/>
        <v>7.8700457250815425E-3</v>
      </c>
      <c r="M139" s="5">
        <v>45824</v>
      </c>
      <c r="N139" s="2">
        <v>24946.5</v>
      </c>
      <c r="O139" s="4">
        <f t="shared" si="11"/>
        <v>9.2197778191323021E-3</v>
      </c>
    </row>
    <row r="140" spans="1:15" x14ac:dyDescent="0.25">
      <c r="A140" s="3">
        <v>45821</v>
      </c>
      <c r="B140" s="1">
        <v>413.70299999999997</v>
      </c>
      <c r="C140" s="4">
        <f t="shared" si="8"/>
        <v>-5.4499122532876143E-3</v>
      </c>
      <c r="E140" s="3">
        <v>45821</v>
      </c>
      <c r="F140" s="1">
        <v>155.65</v>
      </c>
      <c r="G140" s="4">
        <f t="shared" si="9"/>
        <v>-4.6044637718232195E-3</v>
      </c>
      <c r="I140" s="3">
        <v>45821</v>
      </c>
      <c r="J140" s="1">
        <v>172.553</v>
      </c>
      <c r="K140" s="4">
        <f t="shared" si="10"/>
        <v>-6.6262147100816238E-3</v>
      </c>
      <c r="M140" s="5">
        <v>45821</v>
      </c>
      <c r="N140" s="2">
        <v>24718.6</v>
      </c>
      <c r="O140" s="4">
        <f t="shared" si="11"/>
        <v>-6.8144743292002374E-3</v>
      </c>
    </row>
    <row r="141" spans="1:15" x14ac:dyDescent="0.25">
      <c r="A141" s="3">
        <v>45820</v>
      </c>
      <c r="B141" s="1">
        <v>415.97</v>
      </c>
      <c r="C141" s="4">
        <f t="shared" si="8"/>
        <v>8.2288068835969508E-3</v>
      </c>
      <c r="E141" s="3">
        <v>45820</v>
      </c>
      <c r="F141" s="1">
        <v>156.37</v>
      </c>
      <c r="G141" s="4">
        <f t="shared" si="9"/>
        <v>-1.2690996337921367E-2</v>
      </c>
      <c r="I141" s="3">
        <v>45820</v>
      </c>
      <c r="J141" s="1">
        <v>173.70400000000001</v>
      </c>
      <c r="K141" s="4">
        <f t="shared" si="10"/>
        <v>-1.1090109990207764E-2</v>
      </c>
      <c r="M141" s="5">
        <v>45820</v>
      </c>
      <c r="N141" s="2">
        <v>24888.2</v>
      </c>
      <c r="O141" s="4">
        <f t="shared" si="11"/>
        <v>-1.0071038207896121E-2</v>
      </c>
    </row>
    <row r="142" spans="1:15" x14ac:dyDescent="0.25">
      <c r="A142" s="3">
        <v>45819</v>
      </c>
      <c r="B142" s="1">
        <v>412.57499999999999</v>
      </c>
      <c r="C142" s="4">
        <f t="shared" si="8"/>
        <v>-6.9512808601488452E-3</v>
      </c>
      <c r="E142" s="3">
        <v>45819</v>
      </c>
      <c r="F142" s="1">
        <v>158.38</v>
      </c>
      <c r="G142" s="4">
        <f t="shared" si="9"/>
        <v>0</v>
      </c>
      <c r="I142" s="3">
        <v>45819</v>
      </c>
      <c r="J142" s="1">
        <v>175.65199999999999</v>
      </c>
      <c r="K142" s="4">
        <f t="shared" si="10"/>
        <v>-2.0490870178957454E-4</v>
      </c>
      <c r="M142" s="5">
        <v>45819</v>
      </c>
      <c r="N142" s="2">
        <v>25141.4</v>
      </c>
      <c r="O142" s="4">
        <f t="shared" si="11"/>
        <v>1.4798291126005836E-3</v>
      </c>
    </row>
    <row r="143" spans="1:15" x14ac:dyDescent="0.25">
      <c r="A143" s="3">
        <v>45818</v>
      </c>
      <c r="B143" s="1">
        <v>415.46300000000002</v>
      </c>
      <c r="C143" s="4">
        <f t="shared" si="8"/>
        <v>-1.1002535201209196E-2</v>
      </c>
      <c r="E143" s="3">
        <v>45818</v>
      </c>
      <c r="F143" s="1">
        <v>158.38</v>
      </c>
      <c r="G143" s="4">
        <f t="shared" si="9"/>
        <v>-1.1982089928738171E-3</v>
      </c>
      <c r="I143" s="3">
        <v>45818</v>
      </c>
      <c r="J143" s="1">
        <v>175.68799999999999</v>
      </c>
      <c r="K143" s="4">
        <f t="shared" si="10"/>
        <v>3.4152616659621771E-5</v>
      </c>
      <c r="M143" s="5">
        <v>45818</v>
      </c>
      <c r="N143" s="2">
        <v>25104.25</v>
      </c>
      <c r="O143" s="4">
        <f t="shared" si="11"/>
        <v>4.1827336753952338E-5</v>
      </c>
    </row>
    <row r="144" spans="1:15" x14ac:dyDescent="0.25">
      <c r="A144" s="3">
        <v>45817</v>
      </c>
      <c r="B144" s="1">
        <v>420.08499999999998</v>
      </c>
      <c r="C144" s="4">
        <f t="shared" si="8"/>
        <v>1.1630207079649235E-3</v>
      </c>
      <c r="E144" s="3">
        <v>45817</v>
      </c>
      <c r="F144" s="1">
        <v>158.57</v>
      </c>
      <c r="G144" s="4">
        <f t="shared" si="9"/>
        <v>5.7081245639627465E-3</v>
      </c>
      <c r="I144" s="3">
        <v>45817</v>
      </c>
      <c r="J144" s="1">
        <v>175.68199999999999</v>
      </c>
      <c r="K144" s="4">
        <f t="shared" si="10"/>
        <v>6.8832709578692253E-3</v>
      </c>
      <c r="M144" s="5">
        <v>45817</v>
      </c>
      <c r="N144" s="2">
        <v>25103.200000000001</v>
      </c>
      <c r="O144" s="4">
        <f t="shared" si="11"/>
        <v>4.0055113276180609E-3</v>
      </c>
    </row>
    <row r="145" spans="1:15" x14ac:dyDescent="0.25">
      <c r="A145" s="3">
        <v>45814</v>
      </c>
      <c r="B145" s="1">
        <v>419.59699999999998</v>
      </c>
      <c r="C145" s="4">
        <f t="shared" si="8"/>
        <v>1.3818022137475072E-3</v>
      </c>
      <c r="E145" s="3">
        <v>45814</v>
      </c>
      <c r="F145" s="1">
        <v>157.66999999999999</v>
      </c>
      <c r="G145" s="4">
        <f t="shared" si="9"/>
        <v>1.1742813141683683E-2</v>
      </c>
      <c r="I145" s="3">
        <v>45814</v>
      </c>
      <c r="J145" s="1">
        <v>174.48099999999999</v>
      </c>
      <c r="K145" s="4">
        <f t="shared" si="10"/>
        <v>7.1344050333341791E-3</v>
      </c>
      <c r="M145" s="5">
        <v>45814</v>
      </c>
      <c r="N145" s="2">
        <v>25003.05</v>
      </c>
      <c r="O145" s="4">
        <f t="shared" si="11"/>
        <v>1.0187508333030282E-2</v>
      </c>
    </row>
    <row r="146" spans="1:15" x14ac:dyDescent="0.25">
      <c r="A146" s="3">
        <v>45813</v>
      </c>
      <c r="B146" s="1">
        <v>419.01799999999997</v>
      </c>
      <c r="C146" s="4">
        <f t="shared" si="8"/>
        <v>7.7368741296917065E-3</v>
      </c>
      <c r="E146" s="3">
        <v>45813</v>
      </c>
      <c r="F146" s="1">
        <v>155.84</v>
      </c>
      <c r="G146" s="4">
        <f t="shared" si="9"/>
        <v>6.91348452542484E-3</v>
      </c>
      <c r="I146" s="3">
        <v>45813</v>
      </c>
      <c r="J146" s="1">
        <v>173.245</v>
      </c>
      <c r="K146" s="4">
        <f t="shared" si="10"/>
        <v>3.1964237114416871E-3</v>
      </c>
      <c r="M146" s="5">
        <v>45813</v>
      </c>
      <c r="N146" s="2">
        <v>24750.9</v>
      </c>
      <c r="O146" s="4">
        <f t="shared" si="11"/>
        <v>5.3086489955402882E-3</v>
      </c>
    </row>
    <row r="147" spans="1:15" x14ac:dyDescent="0.25">
      <c r="A147" s="3">
        <v>45812</v>
      </c>
      <c r="B147" s="1">
        <v>415.80099999999999</v>
      </c>
      <c r="C147" s="4">
        <f t="shared" si="8"/>
        <v>7.6140348326341201E-3</v>
      </c>
      <c r="E147" s="3">
        <v>45812</v>
      </c>
      <c r="F147" s="1">
        <v>154.77000000000001</v>
      </c>
      <c r="G147" s="4">
        <f t="shared" si="9"/>
        <v>3.8918077446976618E-3</v>
      </c>
      <c r="I147" s="3">
        <v>45812</v>
      </c>
      <c r="J147" s="1">
        <v>172.69300000000001</v>
      </c>
      <c r="K147" s="4">
        <f t="shared" si="10"/>
        <v>6.1759684909079571E-3</v>
      </c>
      <c r="M147" s="5">
        <v>45812</v>
      </c>
      <c r="N147" s="2">
        <v>24620.2</v>
      </c>
      <c r="O147" s="4">
        <f t="shared" si="11"/>
        <v>3.1659366405216716E-3</v>
      </c>
    </row>
    <row r="148" spans="1:15" x14ac:dyDescent="0.25">
      <c r="A148" s="3">
        <v>45811</v>
      </c>
      <c r="B148" s="1">
        <v>412.65899999999999</v>
      </c>
      <c r="C148" s="4">
        <f t="shared" si="8"/>
        <v>2.6386570547631827E-3</v>
      </c>
      <c r="E148" s="3">
        <v>45811</v>
      </c>
      <c r="F148" s="1">
        <v>154.16999999999999</v>
      </c>
      <c r="G148" s="4">
        <f t="shared" si="9"/>
        <v>-4.7769672713189326E-3</v>
      </c>
      <c r="I148" s="3">
        <v>45811</v>
      </c>
      <c r="J148" s="1">
        <v>171.63300000000001</v>
      </c>
      <c r="K148" s="4">
        <f t="shared" si="10"/>
        <v>-2.9858202582675464E-3</v>
      </c>
      <c r="M148" s="5">
        <v>45811</v>
      </c>
      <c r="N148" s="2">
        <v>24542.5</v>
      </c>
      <c r="O148" s="4">
        <f t="shared" si="11"/>
        <v>-7.0438490730925229E-3</v>
      </c>
    </row>
    <row r="149" spans="1:15" x14ac:dyDescent="0.25">
      <c r="A149" s="3">
        <v>45810</v>
      </c>
      <c r="B149" s="1">
        <v>411.57299999999998</v>
      </c>
      <c r="C149" s="4">
        <f t="shared" si="8"/>
        <v>3.6138320519103484E-3</v>
      </c>
      <c r="E149" s="3">
        <v>45810</v>
      </c>
      <c r="F149" s="1">
        <v>154.91</v>
      </c>
      <c r="G149" s="4">
        <f t="shared" si="9"/>
        <v>2.6537216828479426E-3</v>
      </c>
      <c r="I149" s="3">
        <v>45810</v>
      </c>
      <c r="J149" s="1">
        <v>172.14699999999999</v>
      </c>
      <c r="K149" s="4">
        <f t="shared" si="10"/>
        <v>1.3786283520447196E-3</v>
      </c>
      <c r="M149" s="5">
        <v>45810</v>
      </c>
      <c r="N149" s="2">
        <v>24716.6</v>
      </c>
      <c r="O149" s="4">
        <f t="shared" si="11"/>
        <v>-1.3777388114276645E-3</v>
      </c>
    </row>
    <row r="150" spans="1:15" x14ac:dyDescent="0.25">
      <c r="A150" s="3">
        <v>45807</v>
      </c>
      <c r="B150" s="1">
        <v>410.09100000000001</v>
      </c>
      <c r="C150" s="4">
        <f t="shared" si="8"/>
        <v>-3.4240583232078015E-3</v>
      </c>
      <c r="E150" s="3">
        <v>45807</v>
      </c>
      <c r="F150" s="1">
        <v>154.5</v>
      </c>
      <c r="G150" s="4">
        <f t="shared" si="9"/>
        <v>-1.8735060404417858E-3</v>
      </c>
      <c r="I150" s="3">
        <v>45807</v>
      </c>
      <c r="J150" s="1">
        <v>171.91</v>
      </c>
      <c r="K150" s="4">
        <f t="shared" si="10"/>
        <v>-1.5275333530809787E-3</v>
      </c>
      <c r="M150" s="5">
        <v>45807</v>
      </c>
      <c r="N150" s="2">
        <v>24750.7</v>
      </c>
      <c r="O150" s="4">
        <f t="shared" si="11"/>
        <v>-3.3382191869080202E-3</v>
      </c>
    </row>
    <row r="151" spans="1:15" x14ac:dyDescent="0.25">
      <c r="A151" s="3">
        <v>45806</v>
      </c>
      <c r="B151" s="1">
        <v>411.5</v>
      </c>
      <c r="C151" s="4">
        <f t="shared" si="8"/>
        <v>-9.8808711675202332E-4</v>
      </c>
      <c r="E151" s="3">
        <v>45806</v>
      </c>
      <c r="F151" s="1">
        <v>154.79</v>
      </c>
      <c r="G151" s="4">
        <f t="shared" si="9"/>
        <v>2.720735894279791E-3</v>
      </c>
      <c r="I151" s="3">
        <v>45806</v>
      </c>
      <c r="J151" s="1">
        <v>172.173</v>
      </c>
      <c r="K151" s="4">
        <f t="shared" si="10"/>
        <v>4.0764197487666021E-3</v>
      </c>
      <c r="M151" s="5">
        <v>45806</v>
      </c>
      <c r="N151" s="2">
        <v>24833.599999999999</v>
      </c>
      <c r="O151" s="4">
        <f t="shared" si="11"/>
        <v>3.2784633440325894E-3</v>
      </c>
    </row>
    <row r="152" spans="1:15" x14ac:dyDescent="0.25">
      <c r="A152" s="3">
        <v>45805</v>
      </c>
      <c r="B152" s="1">
        <v>411.90699999999998</v>
      </c>
      <c r="C152" s="4">
        <f t="shared" si="8"/>
        <v>1.6994416120352795E-5</v>
      </c>
      <c r="E152" s="3">
        <v>45805</v>
      </c>
      <c r="F152" s="1">
        <v>154.37</v>
      </c>
      <c r="G152" s="4">
        <f t="shared" si="9"/>
        <v>-1.8105399288717017E-3</v>
      </c>
      <c r="I152" s="3">
        <v>45805</v>
      </c>
      <c r="J152" s="1">
        <v>171.47399999999999</v>
      </c>
      <c r="K152" s="4">
        <f t="shared" si="10"/>
        <v>1.2495620693682152E-3</v>
      </c>
      <c r="M152" s="5">
        <v>45805</v>
      </c>
      <c r="N152" s="2">
        <v>24752.45</v>
      </c>
      <c r="O152" s="4">
        <f t="shared" si="11"/>
        <v>-2.9706519725128944E-3</v>
      </c>
    </row>
    <row r="153" spans="1:15" x14ac:dyDescent="0.25">
      <c r="A153" s="3">
        <v>45804</v>
      </c>
      <c r="B153" s="1">
        <v>411.9</v>
      </c>
      <c r="C153" s="4">
        <f t="shared" si="8"/>
        <v>-1.6191270287564397E-3</v>
      </c>
      <c r="E153" s="3">
        <v>45804</v>
      </c>
      <c r="F153" s="1">
        <v>154.65</v>
      </c>
      <c r="G153" s="4">
        <f t="shared" si="9"/>
        <v>-3.6080149474905232E-3</v>
      </c>
      <c r="I153" s="3">
        <v>45804</v>
      </c>
      <c r="J153" s="1">
        <v>171.26</v>
      </c>
      <c r="K153" s="4">
        <f t="shared" si="10"/>
        <v>-2.6439311879055127E-3</v>
      </c>
      <c r="M153" s="5">
        <v>45804</v>
      </c>
      <c r="N153" s="2">
        <v>24826.2</v>
      </c>
      <c r="O153" s="4">
        <f t="shared" si="11"/>
        <v>-6.9976781068070704E-3</v>
      </c>
    </row>
    <row r="154" spans="1:15" x14ac:dyDescent="0.25">
      <c r="A154" s="3">
        <v>45803</v>
      </c>
      <c r="B154" s="1">
        <v>412.56799999999998</v>
      </c>
      <c r="C154" s="4">
        <f t="shared" si="8"/>
        <v>2.3079651521555888E-3</v>
      </c>
      <c r="E154" s="3">
        <v>45803</v>
      </c>
      <c r="F154" s="1">
        <v>155.21</v>
      </c>
      <c r="G154" s="4">
        <f t="shared" si="9"/>
        <v>3.296703296703507E-3</v>
      </c>
      <c r="I154" s="3">
        <v>45803</v>
      </c>
      <c r="J154" s="1">
        <v>171.714</v>
      </c>
      <c r="K154" s="4">
        <f t="shared" si="10"/>
        <v>5.545567937599305E-3</v>
      </c>
      <c r="M154" s="5">
        <v>45803</v>
      </c>
      <c r="N154" s="2">
        <v>25001.15</v>
      </c>
      <c r="O154" s="4">
        <f t="shared" si="11"/>
        <v>5.954979549875894E-3</v>
      </c>
    </row>
    <row r="155" spans="1:15" x14ac:dyDescent="0.25">
      <c r="A155" s="3">
        <v>45800</v>
      </c>
      <c r="B155" s="1">
        <v>411.61799999999999</v>
      </c>
      <c r="C155" s="4">
        <f t="shared" si="8"/>
        <v>-1.5935965071857128E-3</v>
      </c>
      <c r="E155" s="3">
        <v>45800</v>
      </c>
      <c r="F155" s="1">
        <v>154.69999999999999</v>
      </c>
      <c r="G155" s="4">
        <f t="shared" si="9"/>
        <v>9.0007826767544152E-3</v>
      </c>
      <c r="I155" s="3">
        <v>45800</v>
      </c>
      <c r="J155" s="1">
        <v>170.767</v>
      </c>
      <c r="K155" s="4">
        <f t="shared" si="10"/>
        <v>5.7600904652246321E-3</v>
      </c>
      <c r="M155" s="5">
        <v>45800</v>
      </c>
      <c r="N155" s="2">
        <v>24853.15</v>
      </c>
      <c r="O155" s="4">
        <f t="shared" si="11"/>
        <v>9.8924407855438545E-3</v>
      </c>
    </row>
    <row r="156" spans="1:15" x14ac:dyDescent="0.25">
      <c r="A156" s="3">
        <v>45799</v>
      </c>
      <c r="B156" s="1">
        <v>412.27499999999998</v>
      </c>
      <c r="C156" s="4">
        <f t="shared" si="8"/>
        <v>-2.9986820308816053E-3</v>
      </c>
      <c r="E156" s="3">
        <v>45799</v>
      </c>
      <c r="F156" s="1">
        <v>153.32</v>
      </c>
      <c r="G156" s="4">
        <f t="shared" si="9"/>
        <v>-5.3198391073050466E-3</v>
      </c>
      <c r="I156" s="3">
        <v>45799</v>
      </c>
      <c r="J156" s="1">
        <v>169.78899999999999</v>
      </c>
      <c r="K156" s="4">
        <f t="shared" si="10"/>
        <v>-3.2171518812706967E-3</v>
      </c>
      <c r="M156" s="5">
        <v>45799</v>
      </c>
      <c r="N156" s="2">
        <v>24609.7</v>
      </c>
      <c r="O156" s="4">
        <f t="shared" si="11"/>
        <v>-8.2112725155107924E-3</v>
      </c>
    </row>
    <row r="157" spans="1:15" x14ac:dyDescent="0.25">
      <c r="A157" s="3">
        <v>45798</v>
      </c>
      <c r="B157" s="1">
        <v>413.51499999999999</v>
      </c>
      <c r="C157" s="4">
        <f t="shared" si="8"/>
        <v>3.5139916566966356E-3</v>
      </c>
      <c r="E157" s="3">
        <v>45798</v>
      </c>
      <c r="F157" s="1">
        <v>154.13999999999999</v>
      </c>
      <c r="G157" s="4">
        <f t="shared" si="9"/>
        <v>5.8731401722786902E-3</v>
      </c>
      <c r="I157" s="3">
        <v>45798</v>
      </c>
      <c r="J157" s="1">
        <v>170.33699999999999</v>
      </c>
      <c r="K157" s="4">
        <f t="shared" si="10"/>
        <v>3.7773430133885011E-3</v>
      </c>
      <c r="M157" s="5">
        <v>45798</v>
      </c>
      <c r="N157" s="2">
        <v>24813.45</v>
      </c>
      <c r="O157" s="4">
        <f t="shared" si="11"/>
        <v>5.2483602672186436E-3</v>
      </c>
    </row>
    <row r="158" spans="1:15" x14ac:dyDescent="0.25">
      <c r="A158" s="3">
        <v>45797</v>
      </c>
      <c r="B158" s="1">
        <v>412.06700000000001</v>
      </c>
      <c r="C158" s="4">
        <f t="shared" si="8"/>
        <v>5.4362810762276226E-3</v>
      </c>
      <c r="E158" s="3">
        <v>45797</v>
      </c>
      <c r="F158" s="1">
        <v>153.24</v>
      </c>
      <c r="G158" s="4">
        <f t="shared" si="9"/>
        <v>-1.1227255129694025E-2</v>
      </c>
      <c r="I158" s="3">
        <v>45797</v>
      </c>
      <c r="J158" s="1">
        <v>169.696</v>
      </c>
      <c r="K158" s="4">
        <f t="shared" si="10"/>
        <v>-1.092265547589899E-2</v>
      </c>
      <c r="M158" s="5">
        <v>45797</v>
      </c>
      <c r="N158" s="2">
        <v>24683.9</v>
      </c>
      <c r="O158" s="4">
        <f t="shared" si="11"/>
        <v>-1.0484878003804265E-2</v>
      </c>
    </row>
    <row r="159" spans="1:15" x14ac:dyDescent="0.25">
      <c r="A159" s="3">
        <v>45796</v>
      </c>
      <c r="B159" s="1">
        <v>409.839</v>
      </c>
      <c r="C159" s="4">
        <f t="shared" si="8"/>
        <v>-6.0677934040029857E-3</v>
      </c>
      <c r="E159" s="3">
        <v>45796</v>
      </c>
      <c r="F159" s="1">
        <v>154.97999999999999</v>
      </c>
      <c r="G159" s="4">
        <f t="shared" si="9"/>
        <v>-2.4459320288363617E-3</v>
      </c>
      <c r="I159" s="3">
        <v>45796</v>
      </c>
      <c r="J159" s="1">
        <v>171.57</v>
      </c>
      <c r="K159" s="4">
        <f t="shared" si="10"/>
        <v>1.3365160702925039E-3</v>
      </c>
      <c r="M159" s="5">
        <v>45796</v>
      </c>
      <c r="N159" s="2">
        <v>24945.45</v>
      </c>
      <c r="O159" s="4">
        <f t="shared" si="11"/>
        <v>-2.9716464560067823E-3</v>
      </c>
    </row>
    <row r="160" spans="1:15" x14ac:dyDescent="0.25">
      <c r="A160" s="3">
        <v>45793</v>
      </c>
      <c r="B160" s="1">
        <v>412.34100000000001</v>
      </c>
      <c r="C160" s="4">
        <f t="shared" si="8"/>
        <v>3.4629780150783329E-3</v>
      </c>
      <c r="E160" s="3">
        <v>45793</v>
      </c>
      <c r="F160" s="1">
        <v>155.36000000000001</v>
      </c>
      <c r="G160" s="4">
        <f t="shared" si="9"/>
        <v>4.9809172650236988E-3</v>
      </c>
      <c r="I160" s="3">
        <v>45793</v>
      </c>
      <c r="J160" s="1">
        <v>171.34100000000001</v>
      </c>
      <c r="K160" s="4">
        <f t="shared" si="10"/>
        <v>3.2261842028222798E-3</v>
      </c>
      <c r="M160" s="5">
        <v>45793</v>
      </c>
      <c r="N160" s="2">
        <v>25019.8</v>
      </c>
      <c r="O160" s="4">
        <f t="shared" si="11"/>
        <v>-1.6878074862042292E-3</v>
      </c>
    </row>
    <row r="161" spans="1:15" x14ac:dyDescent="0.25">
      <c r="A161" s="3">
        <v>45792</v>
      </c>
      <c r="B161" s="1">
        <v>410.91800000000001</v>
      </c>
      <c r="C161" s="4">
        <f t="shared" si="8"/>
        <v>-7.5667007204426318E-3</v>
      </c>
      <c r="E161" s="3">
        <v>45792</v>
      </c>
      <c r="F161" s="1">
        <v>154.59</v>
      </c>
      <c r="G161" s="4">
        <f t="shared" si="9"/>
        <v>1.0656380753138128E-2</v>
      </c>
      <c r="I161" s="3">
        <v>45792</v>
      </c>
      <c r="J161" s="1">
        <v>170.79</v>
      </c>
      <c r="K161" s="4">
        <f t="shared" si="10"/>
        <v>1.4945773287772912E-2</v>
      </c>
      <c r="M161" s="5">
        <v>45792</v>
      </c>
      <c r="N161" s="2">
        <v>25062.1</v>
      </c>
      <c r="O161" s="4">
        <f t="shared" si="11"/>
        <v>1.6021470067175025E-2</v>
      </c>
    </row>
    <row r="162" spans="1:15" x14ac:dyDescent="0.25">
      <c r="A162" s="3">
        <v>45791</v>
      </c>
      <c r="B162" s="1">
        <v>414.05099999999999</v>
      </c>
      <c r="C162" s="4">
        <f t="shared" si="8"/>
        <v>1.3228408915026968E-3</v>
      </c>
      <c r="E162" s="3">
        <v>45791</v>
      </c>
      <c r="F162" s="1">
        <v>152.96</v>
      </c>
      <c r="G162" s="4">
        <f t="shared" si="9"/>
        <v>5.0594651422564141E-3</v>
      </c>
      <c r="I162" s="3">
        <v>45791</v>
      </c>
      <c r="J162" s="1">
        <v>168.27500000000001</v>
      </c>
      <c r="K162" s="4">
        <f t="shared" si="10"/>
        <v>7.4416878202978598E-3</v>
      </c>
      <c r="M162" s="5">
        <v>45791</v>
      </c>
      <c r="N162" s="2">
        <v>24666.9</v>
      </c>
      <c r="O162" s="4">
        <f t="shared" si="11"/>
        <v>3.602764221357635E-3</v>
      </c>
    </row>
    <row r="163" spans="1:15" x14ac:dyDescent="0.25">
      <c r="A163" s="3">
        <v>45790</v>
      </c>
      <c r="B163" s="1">
        <v>413.50400000000002</v>
      </c>
      <c r="C163" s="4">
        <f t="shared" si="8"/>
        <v>2.5773383344527279E-3</v>
      </c>
      <c r="E163" s="3">
        <v>45790</v>
      </c>
      <c r="F163" s="1">
        <v>152.19</v>
      </c>
      <c r="G163" s="4">
        <f t="shared" si="9"/>
        <v>-3.8617620107344042E-3</v>
      </c>
      <c r="I163" s="3">
        <v>45790</v>
      </c>
      <c r="J163" s="1">
        <v>167.03200000000001</v>
      </c>
      <c r="K163" s="4">
        <f t="shared" si="10"/>
        <v>-5.5902506980370914E-3</v>
      </c>
      <c r="M163" s="5">
        <v>45790</v>
      </c>
      <c r="N163" s="2">
        <v>24578.35</v>
      </c>
      <c r="O163" s="4">
        <f t="shared" si="11"/>
        <v>-1.3895854313191403E-2</v>
      </c>
    </row>
    <row r="164" spans="1:15" x14ac:dyDescent="0.25">
      <c r="A164" s="3">
        <v>45789</v>
      </c>
      <c r="B164" s="1">
        <v>412.44099999999997</v>
      </c>
      <c r="C164" s="4">
        <f t="shared" si="8"/>
        <v>9.4572136953376962E-3</v>
      </c>
      <c r="E164" s="3">
        <v>45789</v>
      </c>
      <c r="F164" s="1">
        <v>152.78</v>
      </c>
      <c r="G164" s="4">
        <f t="shared" si="9"/>
        <v>3.7625645205107361E-2</v>
      </c>
      <c r="I164" s="3">
        <v>45789</v>
      </c>
      <c r="J164" s="1">
        <v>167.971</v>
      </c>
      <c r="K164" s="4">
        <f t="shared" si="10"/>
        <v>3.4686460514968598E-2</v>
      </c>
      <c r="M164" s="5">
        <v>45789</v>
      </c>
      <c r="N164" s="2">
        <v>24924.7</v>
      </c>
      <c r="O164" s="4">
        <f t="shared" si="11"/>
        <v>3.8183105631456105E-2</v>
      </c>
    </row>
    <row r="165" spans="1:15" x14ac:dyDescent="0.25">
      <c r="A165" s="3">
        <v>45786</v>
      </c>
      <c r="B165" s="1">
        <v>408.577</v>
      </c>
      <c r="C165" s="4">
        <f t="shared" si="8"/>
        <v>6.1193030150803462E-3</v>
      </c>
      <c r="E165" s="3">
        <v>45786</v>
      </c>
      <c r="F165" s="1">
        <v>147.24</v>
      </c>
      <c r="G165" s="4">
        <f t="shared" si="9"/>
        <v>-9.3520823521495711E-3</v>
      </c>
      <c r="I165" s="3">
        <v>45786</v>
      </c>
      <c r="J165" s="1">
        <v>162.34</v>
      </c>
      <c r="K165" s="4">
        <f t="shared" si="10"/>
        <v>-5.9457109441495293E-3</v>
      </c>
      <c r="M165" s="5">
        <v>45786</v>
      </c>
      <c r="N165" s="2">
        <v>24008</v>
      </c>
      <c r="O165" s="4">
        <f t="shared" si="11"/>
        <v>-1.0950077861727414E-2</v>
      </c>
    </row>
    <row r="166" spans="1:15" x14ac:dyDescent="0.25">
      <c r="A166" s="3">
        <v>45785</v>
      </c>
      <c r="B166" s="1">
        <v>406.09199999999998</v>
      </c>
      <c r="C166" s="4">
        <f t="shared" si="8"/>
        <v>-8.0437729765380217E-3</v>
      </c>
      <c r="E166" s="3">
        <v>45785</v>
      </c>
      <c r="F166" s="1">
        <v>148.63</v>
      </c>
      <c r="G166" s="4">
        <f t="shared" si="9"/>
        <v>-1.1045312396034346E-2</v>
      </c>
      <c r="I166" s="3">
        <v>45785</v>
      </c>
      <c r="J166" s="1">
        <v>163.31100000000001</v>
      </c>
      <c r="K166" s="4">
        <f t="shared" si="10"/>
        <v>-1.1326900025426356E-2</v>
      </c>
      <c r="M166" s="5">
        <v>45785</v>
      </c>
      <c r="N166" s="2">
        <v>24273.8</v>
      </c>
      <c r="O166" s="4">
        <f t="shared" si="11"/>
        <v>-5.758896389016388E-3</v>
      </c>
    </row>
    <row r="167" spans="1:15" x14ac:dyDescent="0.25">
      <c r="A167" s="3">
        <v>45784</v>
      </c>
      <c r="B167" s="1">
        <v>409.38499999999999</v>
      </c>
      <c r="C167" s="4">
        <f t="shared" si="8"/>
        <v>3.1898268343709679E-2</v>
      </c>
      <c r="E167" s="3">
        <v>45784</v>
      </c>
      <c r="F167" s="1">
        <v>150.29</v>
      </c>
      <c r="G167" s="4">
        <f t="shared" si="9"/>
        <v>8.0488295660339215E-3</v>
      </c>
      <c r="I167" s="3">
        <v>45784</v>
      </c>
      <c r="J167" s="1">
        <v>165.18199999999999</v>
      </c>
      <c r="K167" s="4">
        <f t="shared" si="10"/>
        <v>6.2562821723370909E-3</v>
      </c>
      <c r="M167" s="5">
        <v>45784</v>
      </c>
      <c r="N167" s="2">
        <v>24414.400000000001</v>
      </c>
      <c r="O167" s="4">
        <f t="shared" si="11"/>
        <v>1.4274229273656402E-3</v>
      </c>
    </row>
    <row r="168" spans="1:15" x14ac:dyDescent="0.25">
      <c r="A168" s="3">
        <v>45783</v>
      </c>
      <c r="B168" s="1">
        <v>396.73</v>
      </c>
      <c r="C168" s="4">
        <f t="shared" si="8"/>
        <v>-7.3436503071322434E-3</v>
      </c>
      <c r="E168" s="3">
        <v>45783</v>
      </c>
      <c r="F168" s="1">
        <v>149.09</v>
      </c>
      <c r="G168" s="4">
        <f t="shared" si="9"/>
        <v>-1.2256525771829785E-2</v>
      </c>
      <c r="I168" s="3">
        <v>45783</v>
      </c>
      <c r="J168" s="1">
        <v>164.155</v>
      </c>
      <c r="K168" s="4">
        <f t="shared" si="10"/>
        <v>-1.0255884622805245E-2</v>
      </c>
      <c r="M168" s="5">
        <v>45783</v>
      </c>
      <c r="N168" s="2">
        <v>24379.599999999999</v>
      </c>
      <c r="O168" s="4">
        <f t="shared" si="11"/>
        <v>-3.3338579747886898E-3</v>
      </c>
    </row>
    <row r="169" spans="1:15" x14ac:dyDescent="0.25">
      <c r="A169" s="3">
        <v>45782</v>
      </c>
      <c r="B169" s="1">
        <v>399.66500000000002</v>
      </c>
      <c r="C169" s="4">
        <f t="shared" si="8"/>
        <v>-7.5193758024101331E-3</v>
      </c>
      <c r="E169" s="3">
        <v>45782</v>
      </c>
      <c r="F169" s="1">
        <v>150.94</v>
      </c>
      <c r="G169" s="4">
        <f t="shared" si="9"/>
        <v>1.0240278428485405E-2</v>
      </c>
      <c r="I169" s="3">
        <v>45782</v>
      </c>
      <c r="J169" s="1">
        <v>165.85599999999999</v>
      </c>
      <c r="K169" s="4">
        <f t="shared" si="10"/>
        <v>7.4837204781805777E-3</v>
      </c>
      <c r="M169" s="5">
        <v>45782</v>
      </c>
      <c r="N169" s="2">
        <v>24461.15</v>
      </c>
      <c r="O169" s="4">
        <f t="shared" si="11"/>
        <v>4.7008424139616256E-3</v>
      </c>
    </row>
    <row r="170" spans="1:15" x14ac:dyDescent="0.25">
      <c r="A170" s="3">
        <v>45779</v>
      </c>
      <c r="B170" s="1">
        <v>402.69299999999998</v>
      </c>
      <c r="C170" s="4">
        <f t="shared" si="8"/>
        <v>4.6804402008895352E-3</v>
      </c>
      <c r="E170" s="3">
        <v>45779</v>
      </c>
      <c r="F170" s="1">
        <v>149.41</v>
      </c>
      <c r="G170" s="4">
        <f t="shared" si="9"/>
        <v>-3.8005067342311571E-3</v>
      </c>
      <c r="I170" s="3">
        <v>45779</v>
      </c>
      <c r="J170" s="1">
        <v>164.624</v>
      </c>
      <c r="K170" s="4">
        <f t="shared" si="10"/>
        <v>-1.4739153378177106E-3</v>
      </c>
      <c r="M170" s="5">
        <v>45779</v>
      </c>
      <c r="N170" s="2">
        <v>24346.7</v>
      </c>
      <c r="O170" s="4">
        <f t="shared" si="11"/>
        <v>5.1368033467302787E-4</v>
      </c>
    </row>
    <row r="171" spans="1:15" x14ac:dyDescent="0.25">
      <c r="A171" s="3">
        <v>45777</v>
      </c>
      <c r="B171" s="1">
        <v>400.81700000000001</v>
      </c>
      <c r="C171" s="4">
        <f t="shared" si="8"/>
        <v>-8.2027654330762978E-3</v>
      </c>
      <c r="E171" s="3">
        <v>45777</v>
      </c>
      <c r="F171" s="1">
        <v>149.97999999999999</v>
      </c>
      <c r="G171" s="4">
        <f t="shared" si="9"/>
        <v>-4.1829891773456085E-3</v>
      </c>
      <c r="I171" s="3">
        <v>45777</v>
      </c>
      <c r="J171" s="1">
        <v>164.86699999999999</v>
      </c>
      <c r="K171" s="4">
        <f t="shared" si="10"/>
        <v>-4.6367011803061242E-3</v>
      </c>
      <c r="M171" s="5">
        <v>45777</v>
      </c>
      <c r="N171" s="2">
        <v>24334.2</v>
      </c>
      <c r="O171" s="4">
        <f t="shared" si="11"/>
        <v>-7.1910075423398112E-5</v>
      </c>
    </row>
    <row r="172" spans="1:15" x14ac:dyDescent="0.25">
      <c r="A172" s="3">
        <v>45776</v>
      </c>
      <c r="B172" s="1">
        <v>404.13200000000001</v>
      </c>
      <c r="C172" s="4">
        <f t="shared" si="8"/>
        <v>5.1009622439259772E-3</v>
      </c>
      <c r="E172" s="3">
        <v>45776</v>
      </c>
      <c r="F172" s="1">
        <v>150.61000000000001</v>
      </c>
      <c r="G172" s="4">
        <f t="shared" si="9"/>
        <v>1.862569014833948E-3</v>
      </c>
      <c r="I172" s="3">
        <v>45776</v>
      </c>
      <c r="J172" s="1">
        <v>165.63499999999999</v>
      </c>
      <c r="K172" s="4">
        <f t="shared" si="10"/>
        <v>-1.0975955420735595E-3</v>
      </c>
      <c r="M172" s="5">
        <v>45776</v>
      </c>
      <c r="N172" s="2">
        <v>24335.95</v>
      </c>
      <c r="O172" s="4">
        <f t="shared" si="11"/>
        <v>3.0622520911682827E-4</v>
      </c>
    </row>
    <row r="173" spans="1:15" x14ac:dyDescent="0.25">
      <c r="A173" s="3">
        <v>45775</v>
      </c>
      <c r="B173" s="1">
        <v>402.08100000000002</v>
      </c>
      <c r="C173" s="4">
        <f t="shared" si="8"/>
        <v>-8.250230484601051E-4</v>
      </c>
      <c r="E173" s="3">
        <v>45775</v>
      </c>
      <c r="F173" s="1">
        <v>150.33000000000001</v>
      </c>
      <c r="G173" s="4">
        <f t="shared" si="9"/>
        <v>1.0282258064516103E-2</v>
      </c>
      <c r="I173" s="3">
        <v>45775</v>
      </c>
      <c r="J173" s="1">
        <v>165.81700000000001</v>
      </c>
      <c r="K173" s="4">
        <f t="shared" si="10"/>
        <v>1.005074101372383E-2</v>
      </c>
      <c r="M173" s="5">
        <v>45775</v>
      </c>
      <c r="N173" s="2">
        <v>24328.5</v>
      </c>
      <c r="O173" s="4">
        <f t="shared" si="11"/>
        <v>1.2028195437896683E-2</v>
      </c>
    </row>
    <row r="174" spans="1:15" x14ac:dyDescent="0.25">
      <c r="A174" s="3">
        <v>45772</v>
      </c>
      <c r="B174" s="1">
        <v>402.41300000000001</v>
      </c>
      <c r="C174" s="4">
        <f t="shared" si="8"/>
        <v>-1.1616333358981379E-3</v>
      </c>
      <c r="E174" s="3">
        <v>45772</v>
      </c>
      <c r="F174" s="1">
        <v>148.80000000000001</v>
      </c>
      <c r="G174" s="4">
        <f t="shared" si="9"/>
        <v>-1.7237963146423563E-2</v>
      </c>
      <c r="I174" s="3">
        <v>45772</v>
      </c>
      <c r="J174" s="1">
        <v>164.167</v>
      </c>
      <c r="K174" s="4">
        <f t="shared" si="10"/>
        <v>-1.4355359694520731E-2</v>
      </c>
      <c r="M174" s="5">
        <v>45772</v>
      </c>
      <c r="N174" s="2">
        <v>24039.35</v>
      </c>
      <c r="O174" s="4">
        <f t="shared" si="11"/>
        <v>-8.5516791975815964E-3</v>
      </c>
    </row>
    <row r="175" spans="1:15" x14ac:dyDescent="0.25">
      <c r="A175" s="3">
        <v>45771</v>
      </c>
      <c r="B175" s="1">
        <v>402.88099999999997</v>
      </c>
      <c r="C175" s="4">
        <f t="shared" si="8"/>
        <v>7.5016332198152291E-4</v>
      </c>
      <c r="E175" s="3">
        <v>45771</v>
      </c>
      <c r="F175" s="1">
        <v>151.41</v>
      </c>
      <c r="G175" s="4">
        <f t="shared" si="9"/>
        <v>-1.3850415512466352E-3</v>
      </c>
      <c r="I175" s="3">
        <v>45771</v>
      </c>
      <c r="J175" s="1">
        <v>166.55799999999999</v>
      </c>
      <c r="K175" s="4">
        <f t="shared" si="10"/>
        <v>-2.8318096640743695E-3</v>
      </c>
      <c r="M175" s="5">
        <v>45771</v>
      </c>
      <c r="N175" s="2">
        <v>24246.7</v>
      </c>
      <c r="O175" s="4">
        <f t="shared" si="11"/>
        <v>-3.380745983694311E-3</v>
      </c>
    </row>
    <row r="176" spans="1:15" x14ac:dyDescent="0.25">
      <c r="A176" s="3">
        <v>45770</v>
      </c>
      <c r="B176" s="1">
        <v>402.57900000000001</v>
      </c>
      <c r="C176" s="4">
        <f t="shared" si="8"/>
        <v>1.117982156492392E-2</v>
      </c>
      <c r="E176" s="3">
        <v>45770</v>
      </c>
      <c r="F176" s="1">
        <v>151.62</v>
      </c>
      <c r="G176" s="4">
        <f t="shared" si="9"/>
        <v>6.9066277062026504E-3</v>
      </c>
      <c r="I176" s="3">
        <v>45770</v>
      </c>
      <c r="J176" s="1">
        <v>167.03100000000001</v>
      </c>
      <c r="K176" s="4">
        <f t="shared" si="10"/>
        <v>3.9851413733411611E-3</v>
      </c>
      <c r="M176" s="5">
        <v>45770</v>
      </c>
      <c r="N176" s="2">
        <v>24328.95</v>
      </c>
      <c r="O176" s="4">
        <f t="shared" si="11"/>
        <v>6.6908729789281196E-3</v>
      </c>
    </row>
    <row r="177" spans="1:15" x14ac:dyDescent="0.25">
      <c r="A177" s="3">
        <v>45769</v>
      </c>
      <c r="B177" s="1">
        <v>398.12799999999999</v>
      </c>
      <c r="C177" s="4">
        <f t="shared" si="8"/>
        <v>-1.256956914255114E-2</v>
      </c>
      <c r="E177" s="3">
        <v>45769</v>
      </c>
      <c r="F177" s="1">
        <v>150.58000000000001</v>
      </c>
      <c r="G177" s="4">
        <f t="shared" si="9"/>
        <v>2.8638028638028334E-3</v>
      </c>
      <c r="I177" s="3">
        <v>45769</v>
      </c>
      <c r="J177" s="1">
        <v>166.36799999999999</v>
      </c>
      <c r="K177" s="4">
        <f t="shared" si="10"/>
        <v>3.6013536746475339E-3</v>
      </c>
      <c r="M177" s="5">
        <v>45769</v>
      </c>
      <c r="N177" s="2">
        <v>24167.25</v>
      </c>
      <c r="O177" s="4">
        <f t="shared" si="11"/>
        <v>1.7284580040661801E-3</v>
      </c>
    </row>
    <row r="178" spans="1:15" x14ac:dyDescent="0.25">
      <c r="A178" s="3">
        <v>45768</v>
      </c>
      <c r="B178" s="1">
        <v>403.19600000000003</v>
      </c>
      <c r="C178" s="4">
        <f t="shared" si="8"/>
        <v>-1.2399379039085279E-4</v>
      </c>
      <c r="E178" s="3">
        <v>45768</v>
      </c>
      <c r="F178" s="1">
        <v>150.15</v>
      </c>
      <c r="G178" s="4">
        <f t="shared" si="9"/>
        <v>1.6725352112676006E-2</v>
      </c>
      <c r="I178" s="3">
        <v>45768</v>
      </c>
      <c r="J178" s="1">
        <v>165.77099999999999</v>
      </c>
      <c r="K178" s="4">
        <f t="shared" si="10"/>
        <v>1.4696700740649993E-2</v>
      </c>
      <c r="M178" s="5">
        <v>45768</v>
      </c>
      <c r="N178" s="2">
        <v>24125.55</v>
      </c>
      <c r="O178" s="4">
        <f t="shared" si="11"/>
        <v>1.1483482274811108E-2</v>
      </c>
    </row>
    <row r="179" spans="1:15" x14ac:dyDescent="0.25">
      <c r="A179" s="3">
        <v>45764</v>
      </c>
      <c r="B179" s="1">
        <v>403.24599999999998</v>
      </c>
      <c r="C179" s="4">
        <f t="shared" si="8"/>
        <v>4.0761038721741638E-3</v>
      </c>
      <c r="E179" s="3">
        <v>45764</v>
      </c>
      <c r="F179" s="1">
        <v>147.68</v>
      </c>
      <c r="G179" s="4">
        <f t="shared" si="9"/>
        <v>1.1645430880942609E-2</v>
      </c>
      <c r="I179" s="3">
        <v>45764</v>
      </c>
      <c r="J179" s="1">
        <v>163.37</v>
      </c>
      <c r="K179" s="4">
        <f t="shared" si="10"/>
        <v>1.1171974128060036E-2</v>
      </c>
      <c r="M179" s="5">
        <v>45764</v>
      </c>
      <c r="N179" s="2">
        <v>23851.65</v>
      </c>
      <c r="O179" s="4">
        <f t="shared" si="11"/>
        <v>1.7683426347857356E-2</v>
      </c>
    </row>
    <row r="180" spans="1:15" x14ac:dyDescent="0.25">
      <c r="A180" s="3">
        <v>45763</v>
      </c>
      <c r="B180" s="1">
        <v>401.60899999999998</v>
      </c>
      <c r="C180" s="4">
        <f t="shared" si="8"/>
        <v>3.3151628102188191E-3</v>
      </c>
      <c r="E180" s="3">
        <v>45763</v>
      </c>
      <c r="F180" s="1">
        <v>145.97999999999999</v>
      </c>
      <c r="G180" s="4">
        <f t="shared" si="9"/>
        <v>6.1341236473910765E-3</v>
      </c>
      <c r="I180" s="3">
        <v>45763</v>
      </c>
      <c r="J180" s="1">
        <v>161.565</v>
      </c>
      <c r="K180" s="4">
        <f t="shared" si="10"/>
        <v>4.8699481285217061E-3</v>
      </c>
      <c r="M180" s="5">
        <v>45763</v>
      </c>
      <c r="N180" s="2">
        <v>23437.200000000001</v>
      </c>
      <c r="O180" s="4">
        <f t="shared" si="11"/>
        <v>4.6573833350123106E-3</v>
      </c>
    </row>
    <row r="181" spans="1:15" x14ac:dyDescent="0.25">
      <c r="A181" s="3">
        <v>45762</v>
      </c>
      <c r="B181" s="1">
        <v>400.28199999999998</v>
      </c>
      <c r="C181" s="4">
        <f t="shared" si="8"/>
        <v>1.1564141054216881E-2</v>
      </c>
      <c r="E181" s="3">
        <v>45762</v>
      </c>
      <c r="F181" s="1">
        <v>145.09</v>
      </c>
      <c r="G181" s="4">
        <f t="shared" si="9"/>
        <v>2.7549575070821675E-2</v>
      </c>
      <c r="I181" s="3">
        <v>45762</v>
      </c>
      <c r="J181" s="1">
        <v>160.78200000000001</v>
      </c>
      <c r="K181" s="4">
        <f t="shared" si="10"/>
        <v>2.4317523014684816E-2</v>
      </c>
      <c r="M181" s="5">
        <v>45762</v>
      </c>
      <c r="N181" s="2">
        <v>23328.55</v>
      </c>
      <c r="O181" s="4">
        <f t="shared" si="11"/>
        <v>2.1902398531663314E-2</v>
      </c>
    </row>
    <row r="182" spans="1:15" x14ac:dyDescent="0.25">
      <c r="A182" s="3">
        <v>45758</v>
      </c>
      <c r="B182" s="1">
        <v>395.70600000000002</v>
      </c>
      <c r="C182" s="4">
        <f t="shared" si="8"/>
        <v>1.0516154734057315E-2</v>
      </c>
      <c r="E182" s="3">
        <v>45758</v>
      </c>
      <c r="F182" s="1">
        <v>141.19999999999999</v>
      </c>
      <c r="G182" s="4">
        <f t="shared" si="9"/>
        <v>1.8906047048635966E-2</v>
      </c>
      <c r="I182" s="3">
        <v>45758</v>
      </c>
      <c r="J182" s="1">
        <v>156.965</v>
      </c>
      <c r="K182" s="4">
        <f t="shared" si="10"/>
        <v>1.7535329962401258E-2</v>
      </c>
      <c r="M182" s="5">
        <v>45758</v>
      </c>
      <c r="N182" s="2">
        <v>22828.55</v>
      </c>
      <c r="O182" s="4">
        <f t="shared" si="11"/>
        <v>1.91703703042303E-2</v>
      </c>
    </row>
    <row r="183" spans="1:15" x14ac:dyDescent="0.25">
      <c r="A183" s="3">
        <v>45756</v>
      </c>
      <c r="B183" s="1">
        <v>391.58800000000002</v>
      </c>
      <c r="C183" s="4">
        <f t="shared" si="8"/>
        <v>5.9883316163871214E-3</v>
      </c>
      <c r="E183" s="3">
        <v>45756</v>
      </c>
      <c r="F183" s="1">
        <v>138.58000000000001</v>
      </c>
      <c r="G183" s="4">
        <f t="shared" si="9"/>
        <v>-6.6661888036698702E-3</v>
      </c>
      <c r="I183" s="3">
        <v>45756</v>
      </c>
      <c r="J183" s="1">
        <v>154.26</v>
      </c>
      <c r="K183" s="4">
        <f t="shared" si="10"/>
        <v>-7.3103554789054614E-3</v>
      </c>
      <c r="M183" s="5">
        <v>45756</v>
      </c>
      <c r="N183" s="2">
        <v>22399.15</v>
      </c>
      <c r="O183" s="4">
        <f t="shared" si="11"/>
        <v>-6.0658905699140231E-3</v>
      </c>
    </row>
    <row r="184" spans="1:15" x14ac:dyDescent="0.25">
      <c r="A184" s="3">
        <v>45755</v>
      </c>
      <c r="B184" s="1">
        <v>389.25700000000001</v>
      </c>
      <c r="C184" s="4">
        <f t="shared" si="8"/>
        <v>1.9256198563509574E-2</v>
      </c>
      <c r="E184" s="3">
        <v>45755</v>
      </c>
      <c r="F184" s="1">
        <v>139.51</v>
      </c>
      <c r="G184" s="4">
        <f t="shared" si="9"/>
        <v>1.9660868294109068E-2</v>
      </c>
      <c r="I184" s="3">
        <v>45755</v>
      </c>
      <c r="J184" s="1">
        <v>155.39599999999999</v>
      </c>
      <c r="K184" s="4">
        <f t="shared" si="10"/>
        <v>1.8302392482454355E-2</v>
      </c>
      <c r="M184" s="5">
        <v>45755</v>
      </c>
      <c r="N184" s="2">
        <v>22535.85</v>
      </c>
      <c r="O184" s="4">
        <f t="shared" si="11"/>
        <v>1.68873186051548E-2</v>
      </c>
    </row>
    <row r="185" spans="1:15" x14ac:dyDescent="0.25">
      <c r="A185" s="3">
        <v>45754</v>
      </c>
      <c r="B185" s="1">
        <v>381.90300000000002</v>
      </c>
      <c r="C185" s="4">
        <f t="shared" si="8"/>
        <v>1.4423345100445406E-2</v>
      </c>
      <c r="E185" s="3">
        <v>45754</v>
      </c>
      <c r="F185" s="1">
        <v>136.82</v>
      </c>
      <c r="G185" s="4">
        <f t="shared" si="9"/>
        <v>-3.2253501202433199E-2</v>
      </c>
      <c r="I185" s="3">
        <v>45754</v>
      </c>
      <c r="J185" s="1">
        <v>152.60300000000001</v>
      </c>
      <c r="K185" s="4">
        <f t="shared" si="10"/>
        <v>-3.111051852980562E-2</v>
      </c>
      <c r="M185" s="5">
        <v>45754</v>
      </c>
      <c r="N185" s="2">
        <v>22161.599999999999</v>
      </c>
      <c r="O185" s="4">
        <f t="shared" si="11"/>
        <v>-3.2432562231356932E-2</v>
      </c>
    </row>
    <row r="186" spans="1:15" x14ac:dyDescent="0.25">
      <c r="A186" s="3">
        <v>45751</v>
      </c>
      <c r="B186" s="1">
        <v>376.47300000000001</v>
      </c>
      <c r="C186" s="4">
        <f t="shared" si="8"/>
        <v>-1.6520992002035939E-3</v>
      </c>
      <c r="E186" s="3">
        <v>45751</v>
      </c>
      <c r="F186" s="1">
        <v>141.38</v>
      </c>
      <c r="G186" s="4">
        <f t="shared" si="9"/>
        <v>-1.7648693718732567E-2</v>
      </c>
      <c r="I186" s="3">
        <v>45751</v>
      </c>
      <c r="J186" s="1">
        <v>157.50299999999999</v>
      </c>
      <c r="K186" s="4">
        <f t="shared" si="10"/>
        <v>-1.8232478121026352E-2</v>
      </c>
      <c r="M186" s="5">
        <v>45751</v>
      </c>
      <c r="N186" s="2">
        <v>22904.45</v>
      </c>
      <c r="O186" s="4">
        <f t="shared" si="11"/>
        <v>-1.4866602724289302E-2</v>
      </c>
    </row>
    <row r="187" spans="1:15" x14ac:dyDescent="0.25">
      <c r="A187" s="3">
        <v>45750</v>
      </c>
      <c r="B187" s="1">
        <v>377.096</v>
      </c>
      <c r="C187" s="4">
        <f t="shared" si="8"/>
        <v>1.3802485200101078E-2</v>
      </c>
      <c r="E187" s="3">
        <v>45750</v>
      </c>
      <c r="F187" s="1">
        <v>143.91999999999999</v>
      </c>
      <c r="G187" s="4">
        <f t="shared" si="9"/>
        <v>-2.7716186252771946E-3</v>
      </c>
      <c r="I187" s="3">
        <v>45750</v>
      </c>
      <c r="J187" s="1">
        <v>160.428</v>
      </c>
      <c r="K187" s="4">
        <f t="shared" si="10"/>
        <v>6.2996251411173709E-4</v>
      </c>
      <c r="M187" s="5">
        <v>45750</v>
      </c>
      <c r="N187" s="2">
        <v>23250.1</v>
      </c>
      <c r="O187" s="4">
        <f t="shared" si="11"/>
        <v>-3.5251485598322141E-3</v>
      </c>
    </row>
    <row r="188" spans="1:15" x14ac:dyDescent="0.25">
      <c r="A188" s="3">
        <v>45749</v>
      </c>
      <c r="B188" s="1">
        <v>371.96199999999999</v>
      </c>
      <c r="C188" s="4">
        <f t="shared" si="8"/>
        <v>-2.7430821565002761E-2</v>
      </c>
      <c r="E188" s="3">
        <v>45749</v>
      </c>
      <c r="F188" s="1">
        <v>144.32</v>
      </c>
      <c r="G188" s="4">
        <f t="shared" si="9"/>
        <v>1.191978684616446E-2</v>
      </c>
      <c r="I188" s="3">
        <v>45749</v>
      </c>
      <c r="J188" s="1">
        <v>160.327</v>
      </c>
      <c r="K188" s="4">
        <f t="shared" si="10"/>
        <v>7.3322442824830247E-3</v>
      </c>
      <c r="M188" s="5">
        <v>45749</v>
      </c>
      <c r="N188" s="2">
        <v>23332.35</v>
      </c>
      <c r="O188" s="4">
        <f t="shared" si="11"/>
        <v>7.1938253538634811E-3</v>
      </c>
    </row>
    <row r="189" spans="1:15" x14ac:dyDescent="0.25">
      <c r="A189" s="3">
        <v>45748</v>
      </c>
      <c r="B189" s="1">
        <v>382.45299999999997</v>
      </c>
      <c r="C189" s="4">
        <f t="shared" si="8"/>
        <v>-1.846286510610895E-2</v>
      </c>
      <c r="E189" s="3">
        <v>45748</v>
      </c>
      <c r="F189" s="1">
        <v>142.62</v>
      </c>
      <c r="G189" s="4">
        <f t="shared" si="9"/>
        <v>-1.4851143192650462E-2</v>
      </c>
      <c r="I189" s="3">
        <v>45748</v>
      </c>
      <c r="J189" s="1">
        <v>159.16</v>
      </c>
      <c r="K189" s="4">
        <f t="shared" si="10"/>
        <v>-1.2587707597912945E-2</v>
      </c>
      <c r="M189" s="5">
        <v>45748</v>
      </c>
      <c r="N189" s="2">
        <v>23165.7</v>
      </c>
      <c r="O189" s="4">
        <f t="shared" si="11"/>
        <v>-1.5036555006834651E-2</v>
      </c>
    </row>
    <row r="190" spans="1:15" x14ac:dyDescent="0.25">
      <c r="A190" s="3">
        <v>45747</v>
      </c>
      <c r="B190" s="1">
        <v>389.64699999999999</v>
      </c>
      <c r="C190" s="4">
        <f t="shared" si="8"/>
        <v>-2.6492134267768197E-3</v>
      </c>
      <c r="E190" s="3">
        <v>45747</v>
      </c>
      <c r="F190" s="1">
        <v>144.77000000000001</v>
      </c>
      <c r="G190" s="4">
        <f t="shared" si="9"/>
        <v>0</v>
      </c>
      <c r="I190" s="3">
        <v>45747</v>
      </c>
      <c r="J190" s="1">
        <v>161.18899999999999</v>
      </c>
      <c r="K190" s="4">
        <f t="shared" si="10"/>
        <v>-3.7221998200887008E-5</v>
      </c>
      <c r="M190" s="3">
        <v>45747</v>
      </c>
      <c r="N190" s="2">
        <v>23519.35</v>
      </c>
      <c r="O190" s="4">
        <f t="shared" si="11"/>
        <v>-3.0773208658039231E-3</v>
      </c>
    </row>
    <row r="191" spans="1:15" x14ac:dyDescent="0.25">
      <c r="A191" s="3">
        <v>45744</v>
      </c>
      <c r="B191" s="1">
        <v>390.68200000000002</v>
      </c>
      <c r="C191" s="4">
        <f t="shared" si="8"/>
        <v>5.7640374520844251E-3</v>
      </c>
      <c r="E191" s="3">
        <v>45744</v>
      </c>
      <c r="F191" s="1">
        <v>144.77000000000001</v>
      </c>
      <c r="G191" s="4">
        <f t="shared" si="9"/>
        <v>-5.5229547808066659E-4</v>
      </c>
      <c r="I191" s="3">
        <v>45744</v>
      </c>
      <c r="J191" s="1">
        <v>161.19499999999999</v>
      </c>
      <c r="K191" s="4">
        <f t="shared" si="10"/>
        <v>-2.3950687576586027E-3</v>
      </c>
      <c r="M191" s="5">
        <v>45744</v>
      </c>
      <c r="N191" s="2">
        <v>23591.95</v>
      </c>
      <c r="O191" s="4">
        <f t="shared" si="11"/>
        <v>4.4748444342259663E-3</v>
      </c>
    </row>
    <row r="192" spans="1:15" x14ac:dyDescent="0.25">
      <c r="A192" s="3">
        <v>45743</v>
      </c>
      <c r="B192" s="1">
        <v>388.44299999999998</v>
      </c>
      <c r="C192" s="4">
        <f t="shared" si="8"/>
        <v>-5.2650582972044724E-3</v>
      </c>
      <c r="E192" s="3">
        <v>45743</v>
      </c>
      <c r="F192" s="1">
        <v>144.85</v>
      </c>
      <c r="G192" s="4">
        <f t="shared" si="9"/>
        <v>5.9726369886796693E-3</v>
      </c>
      <c r="I192" s="3">
        <v>45743</v>
      </c>
      <c r="J192" s="1">
        <v>161.58199999999999</v>
      </c>
      <c r="K192" s="4">
        <f t="shared" si="10"/>
        <v>8.1358639364104146E-3</v>
      </c>
      <c r="M192" s="5">
        <v>45743</v>
      </c>
      <c r="N192" s="2">
        <v>23486.85</v>
      </c>
      <c r="O192" s="4">
        <f t="shared" si="11"/>
        <v>-7.6810464475161044E-3</v>
      </c>
    </row>
    <row r="193" spans="1:15" x14ac:dyDescent="0.25">
      <c r="A193" s="3">
        <v>45742</v>
      </c>
      <c r="B193" s="1">
        <v>390.49900000000002</v>
      </c>
      <c r="C193" s="4">
        <f t="shared" si="8"/>
        <v>2.0490806031481235E-4</v>
      </c>
      <c r="E193" s="3">
        <v>45742</v>
      </c>
      <c r="F193" s="1">
        <v>143.99</v>
      </c>
      <c r="G193" s="4">
        <f t="shared" si="9"/>
        <v>-8.8111791835892017E-3</v>
      </c>
      <c r="I193" s="3">
        <v>45742</v>
      </c>
      <c r="J193" s="1">
        <v>160.27799999999999</v>
      </c>
      <c r="K193" s="4">
        <f t="shared" si="10"/>
        <v>-1.1185075050434756E-2</v>
      </c>
      <c r="M193" s="5">
        <v>45742</v>
      </c>
      <c r="N193" s="2">
        <v>23668.65</v>
      </c>
      <c r="O193" s="4">
        <f t="shared" si="11"/>
        <v>4.353642582852757E-4</v>
      </c>
    </row>
    <row r="194" spans="1:15" x14ac:dyDescent="0.25">
      <c r="A194" s="3">
        <v>45741</v>
      </c>
      <c r="B194" s="1">
        <v>390.41899999999998</v>
      </c>
      <c r="C194" s="4">
        <f t="shared" si="8"/>
        <v>-3.8425719206481856E-3</v>
      </c>
      <c r="E194" s="3">
        <v>45741</v>
      </c>
      <c r="F194" s="1">
        <v>145.27000000000001</v>
      </c>
      <c r="G194" s="4">
        <f t="shared" si="9"/>
        <v>-3.1565223358264172E-3</v>
      </c>
      <c r="I194" s="3">
        <v>45741</v>
      </c>
      <c r="J194" s="1">
        <v>162.09100000000001</v>
      </c>
      <c r="K194" s="4">
        <f t="shared" si="10"/>
        <v>-1.7182977150951295E-3</v>
      </c>
      <c r="M194" s="5">
        <v>45741</v>
      </c>
      <c r="N194" s="2">
        <v>23658.35</v>
      </c>
      <c r="O194" s="4">
        <f t="shared" si="11"/>
        <v>1.3188210908592346E-2</v>
      </c>
    </row>
    <row r="195" spans="1:15" x14ac:dyDescent="0.25">
      <c r="A195" s="3">
        <v>45740</v>
      </c>
      <c r="B195" s="1">
        <v>391.92500000000001</v>
      </c>
      <c r="C195" s="4">
        <f t="shared" ref="C195:C258" si="12">(B195/B196)-1</f>
        <v>4.6448080427978766E-3</v>
      </c>
      <c r="E195" s="3">
        <v>45740</v>
      </c>
      <c r="F195" s="1">
        <v>145.72999999999999</v>
      </c>
      <c r="G195" s="4">
        <f t="shared" ref="G195:G258" si="13">(F195/F196)-1</f>
        <v>8.7215338824668809E-3</v>
      </c>
      <c r="I195" s="3">
        <v>45740</v>
      </c>
      <c r="J195" s="1">
        <v>162.37</v>
      </c>
      <c r="K195" s="4">
        <f t="shared" ref="K195:K258" si="14">(J195/J196)-1</f>
        <v>1.2382781324820513E-2</v>
      </c>
      <c r="M195" s="5">
        <v>45740</v>
      </c>
      <c r="N195" s="2">
        <v>23350.400000000001</v>
      </c>
      <c r="O195" s="4">
        <f t="shared" ref="O195:O258" si="15">(N195/N196)-1</f>
        <v>6.8885520673203082E-3</v>
      </c>
    </row>
    <row r="196" spans="1:15" x14ac:dyDescent="0.25">
      <c r="A196" s="3">
        <v>45737</v>
      </c>
      <c r="B196" s="1">
        <v>390.113</v>
      </c>
      <c r="C196" s="4">
        <f t="shared" si="12"/>
        <v>-6.3245677490346708E-3</v>
      </c>
      <c r="E196" s="3">
        <v>45737</v>
      </c>
      <c r="F196" s="1">
        <v>144.47</v>
      </c>
      <c r="G196" s="4">
        <f t="shared" si="13"/>
        <v>1.1694677871148418E-2</v>
      </c>
      <c r="I196" s="3">
        <v>45737</v>
      </c>
      <c r="J196" s="1">
        <v>160.38399999999999</v>
      </c>
      <c r="K196" s="4">
        <f t="shared" si="14"/>
        <v>1.2205743136636249E-2</v>
      </c>
      <c r="M196" s="5">
        <v>45737</v>
      </c>
      <c r="N196" s="2">
        <v>23190.65</v>
      </c>
      <c r="O196" s="4">
        <f t="shared" si="15"/>
        <v>1.2356161273987754E-2</v>
      </c>
    </row>
    <row r="197" spans="1:15" x14ac:dyDescent="0.25">
      <c r="A197" s="3">
        <v>45736</v>
      </c>
      <c r="B197" s="1">
        <v>392.596</v>
      </c>
      <c r="C197" s="4">
        <f t="shared" si="12"/>
        <v>-3.2978331788927617E-3</v>
      </c>
      <c r="E197" s="3">
        <v>45736</v>
      </c>
      <c r="F197" s="1">
        <v>142.80000000000001</v>
      </c>
      <c r="G197" s="4">
        <f t="shared" si="13"/>
        <v>6.8391736586053131E-3</v>
      </c>
      <c r="I197" s="3">
        <v>45736</v>
      </c>
      <c r="J197" s="1">
        <v>158.44999999999999</v>
      </c>
      <c r="K197" s="4">
        <f t="shared" si="14"/>
        <v>9.4349839777281286E-3</v>
      </c>
      <c r="M197" s="5">
        <v>45736</v>
      </c>
      <c r="N197" s="2">
        <v>22907.599999999999</v>
      </c>
      <c r="O197" s="4">
        <f t="shared" si="15"/>
        <v>3.2100830767747279E-3</v>
      </c>
    </row>
    <row r="198" spans="1:15" x14ac:dyDescent="0.25">
      <c r="A198" s="3">
        <v>45735</v>
      </c>
      <c r="B198" s="1">
        <v>393.89499999999998</v>
      </c>
      <c r="C198" s="4">
        <f t="shared" si="12"/>
        <v>1.2948104716350217E-2</v>
      </c>
      <c r="E198" s="3">
        <v>45735</v>
      </c>
      <c r="F198" s="1">
        <v>141.83000000000001</v>
      </c>
      <c r="G198" s="4">
        <f t="shared" si="13"/>
        <v>9.3943491566437221E-3</v>
      </c>
      <c r="I198" s="3">
        <v>45735</v>
      </c>
      <c r="J198" s="1">
        <v>156.96899999999999</v>
      </c>
      <c r="K198" s="4">
        <f t="shared" si="14"/>
        <v>8.4870990953946901E-3</v>
      </c>
      <c r="M198" s="5">
        <v>45735</v>
      </c>
      <c r="N198" s="2">
        <v>22834.3</v>
      </c>
      <c r="O198" s="4">
        <f t="shared" si="15"/>
        <v>1.4463264286110888E-2</v>
      </c>
    </row>
    <row r="199" spans="1:15" x14ac:dyDescent="0.25">
      <c r="A199" s="3">
        <v>45734</v>
      </c>
      <c r="B199" s="1">
        <v>388.86</v>
      </c>
      <c r="C199" s="4">
        <f t="shared" si="12"/>
        <v>9.6273678963112452E-3</v>
      </c>
      <c r="E199" s="3">
        <v>45734</v>
      </c>
      <c r="F199" s="1">
        <v>140.51</v>
      </c>
      <c r="G199" s="4">
        <f t="shared" si="13"/>
        <v>2.122247256341292E-2</v>
      </c>
      <c r="I199" s="3">
        <v>45734</v>
      </c>
      <c r="J199" s="1">
        <v>155.648</v>
      </c>
      <c r="K199" s="4">
        <f t="shared" si="14"/>
        <v>1.8985518631995157E-2</v>
      </c>
      <c r="M199" s="5">
        <v>45734</v>
      </c>
      <c r="N199" s="2">
        <v>22508.75</v>
      </c>
      <c r="O199" s="4">
        <f t="shared" si="15"/>
        <v>4.9805332809458314E-3</v>
      </c>
    </row>
    <row r="200" spans="1:15" x14ac:dyDescent="0.25">
      <c r="A200" s="3">
        <v>45733</v>
      </c>
      <c r="B200" s="1">
        <v>385.15199999999999</v>
      </c>
      <c r="C200" s="4">
        <f t="shared" si="12"/>
        <v>7.3151913797386836E-3</v>
      </c>
      <c r="E200" s="3">
        <v>45733</v>
      </c>
      <c r="F200" s="1">
        <v>137.59</v>
      </c>
      <c r="G200" s="4">
        <f t="shared" si="13"/>
        <v>6.4369833955086886E-3</v>
      </c>
      <c r="I200" s="3">
        <v>45733</v>
      </c>
      <c r="J200" s="1">
        <v>152.74799999999999</v>
      </c>
      <c r="K200" s="4">
        <f t="shared" si="14"/>
        <v>5.3972934547943385E-3</v>
      </c>
      <c r="M200" s="5">
        <v>45733</v>
      </c>
      <c r="N200" s="2">
        <v>22397.200000000001</v>
      </c>
      <c r="O200" s="4">
        <f t="shared" si="15"/>
        <v>-3.2620546939320372E-3</v>
      </c>
    </row>
    <row r="201" spans="1:15" x14ac:dyDescent="0.25">
      <c r="A201" s="3">
        <v>45729</v>
      </c>
      <c r="B201" s="1">
        <v>382.35500000000002</v>
      </c>
      <c r="C201" s="4">
        <f t="shared" si="12"/>
        <v>7.4115644645389445E-3</v>
      </c>
      <c r="E201" s="3">
        <v>45729</v>
      </c>
      <c r="F201" s="1">
        <v>136.71</v>
      </c>
      <c r="G201" s="4">
        <f t="shared" si="13"/>
        <v>-3.2081662413415701E-3</v>
      </c>
      <c r="I201" s="3">
        <v>45729</v>
      </c>
      <c r="J201" s="1">
        <v>151.928</v>
      </c>
      <c r="K201" s="4">
        <f t="shared" si="14"/>
        <v>-5.1664189317496279E-3</v>
      </c>
      <c r="M201" s="5">
        <v>45729</v>
      </c>
      <c r="N201" s="2">
        <v>22470.5</v>
      </c>
      <c r="O201" s="4">
        <f t="shared" si="15"/>
        <v>-1.2178914476462799E-3</v>
      </c>
    </row>
    <row r="202" spans="1:15" x14ac:dyDescent="0.25">
      <c r="A202" s="3">
        <v>45728</v>
      </c>
      <c r="B202" s="1">
        <v>379.54199999999997</v>
      </c>
      <c r="C202" s="4">
        <f t="shared" si="12"/>
        <v>1.2608853410740251E-2</v>
      </c>
      <c r="E202" s="3">
        <v>45728</v>
      </c>
      <c r="F202" s="1">
        <v>137.15</v>
      </c>
      <c r="G202" s="4">
        <f t="shared" si="13"/>
        <v>-3.921853438884404E-3</v>
      </c>
      <c r="I202" s="3">
        <v>45728</v>
      </c>
      <c r="J202" s="1">
        <v>152.71700000000001</v>
      </c>
      <c r="K202" s="4">
        <f t="shared" si="14"/>
        <v>-4.3225974703350323E-3</v>
      </c>
      <c r="M202" s="5">
        <v>45728</v>
      </c>
      <c r="N202" s="2">
        <v>22497.9</v>
      </c>
      <c r="O202" s="4">
        <f t="shared" si="15"/>
        <v>1.6740649056334878E-3</v>
      </c>
    </row>
    <row r="203" spans="1:15" x14ac:dyDescent="0.25">
      <c r="A203" s="3">
        <v>45727</v>
      </c>
      <c r="B203" s="1">
        <v>374.81599999999997</v>
      </c>
      <c r="C203" s="4">
        <f t="shared" si="12"/>
        <v>3.9266104191775231E-3</v>
      </c>
      <c r="E203" s="3">
        <v>45727</v>
      </c>
      <c r="F203" s="1">
        <v>137.69</v>
      </c>
      <c r="G203" s="4">
        <f t="shared" si="13"/>
        <v>2.1792822897004349E-4</v>
      </c>
      <c r="I203" s="3">
        <v>45727</v>
      </c>
      <c r="J203" s="1">
        <v>153.38</v>
      </c>
      <c r="K203" s="4">
        <f t="shared" si="14"/>
        <v>-7.6873965784562959E-4</v>
      </c>
      <c r="M203" s="5">
        <v>45727</v>
      </c>
      <c r="N203" s="2">
        <v>22460.3</v>
      </c>
      <c r="O203" s="4">
        <f t="shared" si="15"/>
        <v>-4.0882385544840361E-3</v>
      </c>
    </row>
    <row r="204" spans="1:15" x14ac:dyDescent="0.25">
      <c r="A204" s="3">
        <v>45726</v>
      </c>
      <c r="B204" s="1">
        <v>373.35</v>
      </c>
      <c r="C204" s="4">
        <f t="shared" si="12"/>
        <v>-3.9085949068206061E-3</v>
      </c>
      <c r="E204" s="3">
        <v>45726</v>
      </c>
      <c r="F204" s="1">
        <v>137.66</v>
      </c>
      <c r="G204" s="4">
        <f t="shared" si="13"/>
        <v>-1.0778959471112404E-2</v>
      </c>
      <c r="I204" s="3">
        <v>45726</v>
      </c>
      <c r="J204" s="1">
        <v>153.49799999999999</v>
      </c>
      <c r="K204" s="4">
        <f t="shared" si="14"/>
        <v>-6.1509375323735016E-3</v>
      </c>
      <c r="M204" s="5">
        <v>45726</v>
      </c>
      <c r="N204" s="2">
        <v>22552.5</v>
      </c>
      <c r="O204" s="4">
        <f t="shared" si="15"/>
        <v>3.459793210820461E-4</v>
      </c>
    </row>
    <row r="205" spans="1:15" x14ac:dyDescent="0.25">
      <c r="A205" s="3">
        <v>45723</v>
      </c>
      <c r="B205" s="1">
        <v>374.815</v>
      </c>
      <c r="C205" s="4">
        <f t="shared" si="12"/>
        <v>-1.6115284215012515E-3</v>
      </c>
      <c r="E205" s="3">
        <v>45723</v>
      </c>
      <c r="F205" s="1">
        <v>139.16</v>
      </c>
      <c r="G205" s="4">
        <f t="shared" si="13"/>
        <v>-2.2227002222700021E-3</v>
      </c>
      <c r="I205" s="3">
        <v>45723</v>
      </c>
      <c r="J205" s="1">
        <v>154.44800000000001</v>
      </c>
      <c r="K205" s="4">
        <f t="shared" si="14"/>
        <v>-1.1317850513828942E-3</v>
      </c>
      <c r="M205" s="5">
        <v>45723</v>
      </c>
      <c r="N205" s="2">
        <v>22544.7</v>
      </c>
      <c r="O205" s="4">
        <f t="shared" si="15"/>
        <v>9.2849180518683738E-3</v>
      </c>
    </row>
    <row r="206" spans="1:15" x14ac:dyDescent="0.25">
      <c r="A206" s="3">
        <v>45722</v>
      </c>
      <c r="B206" s="1">
        <v>375.42</v>
      </c>
      <c r="C206" s="4">
        <f t="shared" si="12"/>
        <v>-1.3486660974072473E-3</v>
      </c>
      <c r="E206" s="3">
        <v>45722</v>
      </c>
      <c r="F206" s="1">
        <v>139.47</v>
      </c>
      <c r="G206" s="4">
        <f t="shared" si="13"/>
        <v>7.0036101083033042E-3</v>
      </c>
      <c r="I206" s="3">
        <v>45722</v>
      </c>
      <c r="J206" s="1">
        <v>154.62299999999999</v>
      </c>
      <c r="K206" s="4">
        <f t="shared" si="14"/>
        <v>1.1255575466638801E-2</v>
      </c>
      <c r="M206" s="5">
        <v>45722</v>
      </c>
      <c r="N206" s="2">
        <v>22337.3</v>
      </c>
      <c r="O206" s="4">
        <f t="shared" si="15"/>
        <v>1.1531677583985545E-2</v>
      </c>
    </row>
    <row r="207" spans="1:15" x14ac:dyDescent="0.25">
      <c r="A207" s="3">
        <v>45721</v>
      </c>
      <c r="B207" s="1">
        <v>375.92700000000002</v>
      </c>
      <c r="C207" s="4">
        <f t="shared" si="12"/>
        <v>-8.2180866500281002E-3</v>
      </c>
      <c r="E207" s="3">
        <v>45721</v>
      </c>
      <c r="F207" s="1">
        <v>138.5</v>
      </c>
      <c r="G207" s="4">
        <f t="shared" si="13"/>
        <v>1.6289991194599285E-2</v>
      </c>
      <c r="I207" s="3">
        <v>45721</v>
      </c>
      <c r="J207" s="1">
        <v>152.90199999999999</v>
      </c>
      <c r="K207" s="4">
        <f t="shared" si="14"/>
        <v>1.5730665497495577E-2</v>
      </c>
      <c r="M207" s="5">
        <v>45721</v>
      </c>
      <c r="N207" s="2">
        <v>22082.65</v>
      </c>
      <c r="O207" s="4">
        <f t="shared" si="15"/>
        <v>-1.6569240437083188E-3</v>
      </c>
    </row>
    <row r="208" spans="1:15" x14ac:dyDescent="0.25">
      <c r="A208" s="3">
        <v>45720</v>
      </c>
      <c r="B208" s="1">
        <v>379.04199999999997</v>
      </c>
      <c r="C208" s="4">
        <f t="shared" si="12"/>
        <v>4.0909294855717704E-4</v>
      </c>
      <c r="E208" s="3">
        <v>45720</v>
      </c>
      <c r="F208" s="1">
        <v>136.28</v>
      </c>
      <c r="G208" s="4">
        <f t="shared" si="13"/>
        <v>3.2391048292108593E-3</v>
      </c>
      <c r="I208" s="3">
        <v>45720</v>
      </c>
      <c r="J208" s="1">
        <v>150.53399999999999</v>
      </c>
      <c r="K208" s="4">
        <f t="shared" si="14"/>
        <v>2.4572969733294148E-3</v>
      </c>
      <c r="M208" s="5">
        <v>45720</v>
      </c>
      <c r="N208" s="2">
        <v>22119.3</v>
      </c>
      <c r="O208" s="4">
        <f t="shared" si="15"/>
        <v>-2.4407110604895976E-4</v>
      </c>
    </row>
    <row r="209" spans="1:15" x14ac:dyDescent="0.25">
      <c r="A209" s="3">
        <v>45719</v>
      </c>
      <c r="B209" s="1">
        <v>378.887</v>
      </c>
      <c r="C209" s="4">
        <f t="shared" si="12"/>
        <v>8.3781561136853089E-3</v>
      </c>
      <c r="E209" s="3">
        <v>45719</v>
      </c>
      <c r="F209" s="1">
        <v>135.84</v>
      </c>
      <c r="G209" s="4">
        <f t="shared" si="13"/>
        <v>5.4774241302739668E-3</v>
      </c>
      <c r="I209" s="3">
        <v>45719</v>
      </c>
      <c r="J209" s="1">
        <v>150.16499999999999</v>
      </c>
      <c r="K209" s="4">
        <f t="shared" si="14"/>
        <v>4.7303689687794304E-4</v>
      </c>
      <c r="M209" s="5">
        <v>45719</v>
      </c>
      <c r="N209" s="2">
        <v>22124.7</v>
      </c>
      <c r="O209" s="4">
        <f t="shared" si="15"/>
        <v>-1.8644891007116748E-2</v>
      </c>
    </row>
    <row r="210" spans="1:15" x14ac:dyDescent="0.25">
      <c r="A210" s="3">
        <v>45716</v>
      </c>
      <c r="B210" s="1">
        <v>375.73899999999998</v>
      </c>
      <c r="C210" s="4">
        <f t="shared" si="12"/>
        <v>1.3519382186892193E-2</v>
      </c>
      <c r="E210" s="3">
        <v>45716</v>
      </c>
      <c r="F210" s="1">
        <v>135.1</v>
      </c>
      <c r="G210" s="4">
        <f t="shared" si="13"/>
        <v>-1.88816267247639E-2</v>
      </c>
      <c r="I210" s="3">
        <v>45716</v>
      </c>
      <c r="J210" s="1">
        <v>150.09399999999999</v>
      </c>
      <c r="K210" s="4">
        <f t="shared" si="14"/>
        <v>-1.8736924686192591E-2</v>
      </c>
      <c r="M210" s="5">
        <v>45716</v>
      </c>
      <c r="N210" s="2">
        <v>22545.05</v>
      </c>
      <c r="O210" s="4">
        <f t="shared" si="15"/>
        <v>-1.1087679149179852E-4</v>
      </c>
    </row>
    <row r="211" spans="1:15" x14ac:dyDescent="0.25">
      <c r="A211" s="3">
        <v>45715</v>
      </c>
      <c r="B211" s="1">
        <v>370.72699999999998</v>
      </c>
      <c r="C211" s="4">
        <f t="shared" si="12"/>
        <v>4.3160305466916071E-5</v>
      </c>
      <c r="E211" s="3">
        <v>45715</v>
      </c>
      <c r="F211" s="1">
        <v>137.69999999999999</v>
      </c>
      <c r="G211" s="4">
        <f t="shared" si="13"/>
        <v>-9.1386630207959119E-3</v>
      </c>
      <c r="I211" s="3">
        <v>45715</v>
      </c>
      <c r="J211" s="1">
        <v>152.96</v>
      </c>
      <c r="K211" s="4">
        <f t="shared" si="14"/>
        <v>-4.477767364365226E-3</v>
      </c>
      <c r="M211" s="5">
        <v>45715</v>
      </c>
      <c r="N211" s="2">
        <v>22547.55</v>
      </c>
      <c r="O211" s="4">
        <f t="shared" si="15"/>
        <v>-2.5716800386632599E-4</v>
      </c>
    </row>
    <row r="212" spans="1:15" x14ac:dyDescent="0.25">
      <c r="A212" s="3">
        <v>45713</v>
      </c>
      <c r="B212" s="1">
        <v>370.71100000000001</v>
      </c>
      <c r="C212" s="4">
        <f t="shared" si="12"/>
        <v>-2.5292545963820912E-3</v>
      </c>
      <c r="E212" s="3">
        <v>45713</v>
      </c>
      <c r="F212" s="1">
        <v>138.97</v>
      </c>
      <c r="G212" s="4">
        <f t="shared" si="13"/>
        <v>2.8791477722589498E-4</v>
      </c>
      <c r="I212" s="3">
        <v>45713</v>
      </c>
      <c r="J212" s="1">
        <v>153.648</v>
      </c>
      <c r="K212" s="4">
        <f t="shared" si="14"/>
        <v>-2.1690846982115319E-3</v>
      </c>
      <c r="M212" s="5">
        <v>45713</v>
      </c>
      <c r="N212" s="2">
        <v>22553.35</v>
      </c>
      <c r="O212" s="4">
        <f t="shared" si="15"/>
        <v>-1.0640071240881177E-2</v>
      </c>
    </row>
    <row r="213" spans="1:15" x14ac:dyDescent="0.25">
      <c r="A213" s="3">
        <v>45712</v>
      </c>
      <c r="B213" s="1">
        <v>371.65100000000001</v>
      </c>
      <c r="C213" s="4">
        <f t="shared" si="12"/>
        <v>-1.6473658025383919E-2</v>
      </c>
      <c r="E213" s="3">
        <v>45712</v>
      </c>
      <c r="F213" s="1">
        <v>138.93</v>
      </c>
      <c r="G213" s="4">
        <f t="shared" si="13"/>
        <v>-1.1666785231557175E-2</v>
      </c>
      <c r="I213" s="3">
        <v>45712</v>
      </c>
      <c r="J213" s="1">
        <v>153.982</v>
      </c>
      <c r="K213" s="4">
        <f t="shared" si="14"/>
        <v>-1.2505451094066533E-2</v>
      </c>
      <c r="M213" s="5">
        <v>45712</v>
      </c>
      <c r="N213" s="2">
        <v>22795.9</v>
      </c>
      <c r="O213" s="4">
        <f t="shared" si="15"/>
        <v>-5.1171488861200265E-3</v>
      </c>
    </row>
    <row r="214" spans="1:15" x14ac:dyDescent="0.25">
      <c r="A214" s="3">
        <v>45709</v>
      </c>
      <c r="B214" s="1">
        <v>377.87599999999998</v>
      </c>
      <c r="C214" s="4">
        <f t="shared" si="12"/>
        <v>-1.9834824246555138E-3</v>
      </c>
      <c r="E214" s="3">
        <v>45709</v>
      </c>
      <c r="F214" s="1">
        <v>140.57</v>
      </c>
      <c r="G214" s="4">
        <f t="shared" si="13"/>
        <v>0</v>
      </c>
      <c r="I214" s="3">
        <v>45709</v>
      </c>
      <c r="J214" s="1">
        <v>155.93199999999999</v>
      </c>
      <c r="K214" s="4">
        <f t="shared" si="14"/>
        <v>-6.4165057761296218E-3</v>
      </c>
      <c r="M214" s="5">
        <v>45709</v>
      </c>
      <c r="N214" s="2">
        <v>22913.15</v>
      </c>
      <c r="O214" s="4">
        <f t="shared" si="15"/>
        <v>-8.6120813329326751E-4</v>
      </c>
    </row>
    <row r="215" spans="1:15" x14ac:dyDescent="0.25">
      <c r="A215" s="3">
        <v>45708</v>
      </c>
      <c r="B215" s="1">
        <v>378.62700000000001</v>
      </c>
      <c r="C215" s="4">
        <f t="shared" si="12"/>
        <v>-1.9927092146985181E-3</v>
      </c>
      <c r="E215" s="3">
        <v>45708</v>
      </c>
      <c r="F215" s="1">
        <v>140.57</v>
      </c>
      <c r="G215" s="4">
        <f t="shared" si="13"/>
        <v>-9.721733004579014E-3</v>
      </c>
      <c r="I215" s="3">
        <v>45708</v>
      </c>
      <c r="J215" s="1">
        <v>156.93899999999999</v>
      </c>
      <c r="K215" s="4">
        <f t="shared" si="14"/>
        <v>5.4649359968221844E-3</v>
      </c>
      <c r="M215" s="5">
        <v>45708</v>
      </c>
      <c r="N215" s="2">
        <v>22932.9</v>
      </c>
      <c r="O215" s="4">
        <f t="shared" si="15"/>
        <v>-5.4041568425766684E-4</v>
      </c>
    </row>
    <row r="216" spans="1:15" x14ac:dyDescent="0.25">
      <c r="A216" s="3">
        <v>45707</v>
      </c>
      <c r="B216" s="1">
        <v>379.38299999999998</v>
      </c>
      <c r="C216" s="4">
        <f t="shared" si="12"/>
        <v>-7.4276205974538323E-3</v>
      </c>
      <c r="E216" s="3">
        <v>45707</v>
      </c>
      <c r="F216" s="1">
        <v>141.94999999999999</v>
      </c>
      <c r="G216" s="4">
        <f t="shared" si="13"/>
        <v>4.457967732804935E-3</v>
      </c>
      <c r="I216" s="3">
        <v>45707</v>
      </c>
      <c r="J216" s="1">
        <v>156.08600000000001</v>
      </c>
      <c r="K216" s="4">
        <f t="shared" si="14"/>
        <v>8.894059853920222E-3</v>
      </c>
      <c r="M216" s="5">
        <v>45707</v>
      </c>
      <c r="N216" s="2">
        <v>22945.3</v>
      </c>
      <c r="O216" s="4">
        <f t="shared" si="15"/>
        <v>-6.1848036760381309E-4</v>
      </c>
    </row>
    <row r="217" spans="1:15" x14ac:dyDescent="0.25">
      <c r="A217" s="3">
        <v>45706</v>
      </c>
      <c r="B217" s="1">
        <v>382.22199999999998</v>
      </c>
      <c r="C217" s="4">
        <f t="shared" si="12"/>
        <v>-6.1520380251074425E-3</v>
      </c>
      <c r="E217" s="3">
        <v>45706</v>
      </c>
      <c r="F217" s="1">
        <v>141.32</v>
      </c>
      <c r="G217" s="4">
        <f t="shared" si="13"/>
        <v>8.1324011984589273E-3</v>
      </c>
      <c r="I217" s="3">
        <v>45706</v>
      </c>
      <c r="J217" s="1">
        <v>154.71</v>
      </c>
      <c r="K217" s="4">
        <f t="shared" si="14"/>
        <v>-1.1879091507740469E-3</v>
      </c>
      <c r="M217" s="5">
        <v>45706</v>
      </c>
      <c r="N217" s="2">
        <v>22959.5</v>
      </c>
      <c r="O217" s="4">
        <f t="shared" si="15"/>
        <v>1.3192755977626813E-3</v>
      </c>
    </row>
    <row r="218" spans="1:15" x14ac:dyDescent="0.25">
      <c r="A218" s="3">
        <v>45705</v>
      </c>
      <c r="B218" s="1">
        <v>384.58800000000002</v>
      </c>
      <c r="C218" s="4">
        <f t="shared" si="12"/>
        <v>-7.5608178154695782E-4</v>
      </c>
      <c r="E218" s="3">
        <v>45705</v>
      </c>
      <c r="F218" s="1">
        <v>140.18</v>
      </c>
      <c r="G218" s="4">
        <f t="shared" si="13"/>
        <v>-1.0689090002138357E-3</v>
      </c>
      <c r="I218" s="3">
        <v>45705</v>
      </c>
      <c r="J218" s="1">
        <v>154.89400000000001</v>
      </c>
      <c r="K218" s="4">
        <f t="shared" si="14"/>
        <v>1.8080146707477596E-4</v>
      </c>
      <c r="M218" s="5">
        <v>45705</v>
      </c>
      <c r="N218" s="2">
        <v>22929.25</v>
      </c>
      <c r="O218" s="4">
        <f t="shared" si="15"/>
        <v>-4.4352492683902289E-3</v>
      </c>
    </row>
    <row r="219" spans="1:15" x14ac:dyDescent="0.25">
      <c r="A219" s="3">
        <v>45702</v>
      </c>
      <c r="B219" s="1">
        <v>384.87900000000002</v>
      </c>
      <c r="C219" s="4">
        <f t="shared" si="12"/>
        <v>4.3500725447012112E-3</v>
      </c>
      <c r="E219" s="3">
        <v>45702</v>
      </c>
      <c r="F219" s="1">
        <v>140.33000000000001</v>
      </c>
      <c r="G219" s="4">
        <f t="shared" si="13"/>
        <v>-5.6975998860464561E-4</v>
      </c>
      <c r="I219" s="3">
        <v>45702</v>
      </c>
      <c r="J219" s="1">
        <v>154.86600000000001</v>
      </c>
      <c r="K219" s="4">
        <f t="shared" si="14"/>
        <v>-1.6548973785815879E-2</v>
      </c>
      <c r="M219" s="5">
        <v>45702</v>
      </c>
      <c r="N219" s="2">
        <v>23031.4</v>
      </c>
      <c r="O219" s="4">
        <f t="shared" si="15"/>
        <v>-6.0099152753811946E-4</v>
      </c>
    </row>
    <row r="220" spans="1:15" x14ac:dyDescent="0.25">
      <c r="A220" s="3">
        <v>45701</v>
      </c>
      <c r="B220" s="1">
        <v>383.21199999999999</v>
      </c>
      <c r="C220" s="4">
        <f t="shared" si="12"/>
        <v>-2.6676244088935652E-3</v>
      </c>
      <c r="E220" s="3">
        <v>45701</v>
      </c>
      <c r="F220" s="1">
        <v>140.41</v>
      </c>
      <c r="G220" s="4">
        <f t="shared" si="13"/>
        <v>-1.473580801347274E-2</v>
      </c>
      <c r="I220" s="3">
        <v>45701</v>
      </c>
      <c r="J220" s="1">
        <v>157.47200000000001</v>
      </c>
      <c r="K220" s="4">
        <f t="shared" si="14"/>
        <v>-4.6335967501331954E-4</v>
      </c>
      <c r="M220" s="5">
        <v>45701</v>
      </c>
      <c r="N220" s="2">
        <v>23045.25</v>
      </c>
      <c r="O220" s="4">
        <f t="shared" si="15"/>
        <v>-1.1507554677138154E-3</v>
      </c>
    </row>
    <row r="221" spans="1:15" x14ac:dyDescent="0.25">
      <c r="A221" s="3">
        <v>45700</v>
      </c>
      <c r="B221" s="1">
        <v>384.23700000000002</v>
      </c>
      <c r="C221" s="4">
        <f t="shared" si="12"/>
        <v>2.1255952970877789E-3</v>
      </c>
      <c r="E221" s="3">
        <v>45700</v>
      </c>
      <c r="F221" s="1">
        <v>142.51</v>
      </c>
      <c r="G221" s="4">
        <f t="shared" si="13"/>
        <v>-5.6104916193289167E-4</v>
      </c>
      <c r="I221" s="3">
        <v>45700</v>
      </c>
      <c r="J221" s="1">
        <v>157.54499999999999</v>
      </c>
      <c r="K221" s="4">
        <f t="shared" si="14"/>
        <v>-2.2040242442668001E-3</v>
      </c>
      <c r="M221" s="5">
        <v>45700</v>
      </c>
      <c r="N221" s="2">
        <v>23071.8</v>
      </c>
      <c r="O221" s="4">
        <f t="shared" si="15"/>
        <v>-1.3249734834228644E-2</v>
      </c>
    </row>
    <row r="222" spans="1:15" x14ac:dyDescent="0.25">
      <c r="A222" s="3">
        <v>45699</v>
      </c>
      <c r="B222" s="1">
        <v>383.42200000000003</v>
      </c>
      <c r="C222" s="4">
        <f t="shared" si="12"/>
        <v>-1.0350203390530388E-2</v>
      </c>
      <c r="E222" s="3">
        <v>45699</v>
      </c>
      <c r="F222" s="1">
        <v>142.59</v>
      </c>
      <c r="G222" s="4">
        <f t="shared" si="13"/>
        <v>-4.5378385925719522E-3</v>
      </c>
      <c r="I222" s="3">
        <v>45699</v>
      </c>
      <c r="J222" s="1">
        <v>157.893</v>
      </c>
      <c r="K222" s="4">
        <f t="shared" si="14"/>
        <v>-2.0879325313158836E-2</v>
      </c>
      <c r="M222" s="5">
        <v>45699</v>
      </c>
      <c r="N222" s="2">
        <v>23381.599999999999</v>
      </c>
      <c r="O222" s="4">
        <f t="shared" si="15"/>
        <v>-7.5700500213287114E-3</v>
      </c>
    </row>
    <row r="223" spans="1:15" x14ac:dyDescent="0.25">
      <c r="A223" s="3">
        <v>45698</v>
      </c>
      <c r="B223" s="1">
        <v>387.43200000000002</v>
      </c>
      <c r="C223" s="4">
        <f t="shared" si="12"/>
        <v>5.0873500587500509E-4</v>
      </c>
      <c r="E223" s="3">
        <v>45698</v>
      </c>
      <c r="F223" s="1">
        <v>143.24</v>
      </c>
      <c r="G223" s="4">
        <f t="shared" si="13"/>
        <v>-2.245274005323139E-2</v>
      </c>
      <c r="I223" s="3">
        <v>45698</v>
      </c>
      <c r="J223" s="1">
        <v>161.26</v>
      </c>
      <c r="K223" s="4">
        <f t="shared" si="14"/>
        <v>-1.2764394379993327E-2</v>
      </c>
      <c r="M223" s="5">
        <v>45698</v>
      </c>
      <c r="N223" s="2">
        <v>23559.95</v>
      </c>
      <c r="O223" s="4">
        <f t="shared" si="15"/>
        <v>-1.8387220458111475E-3</v>
      </c>
    </row>
    <row r="224" spans="1:15" x14ac:dyDescent="0.25">
      <c r="A224" s="3">
        <v>45695</v>
      </c>
      <c r="B224" s="1">
        <v>387.23500000000001</v>
      </c>
      <c r="C224" s="4">
        <f t="shared" si="12"/>
        <v>-8.3084552723855509E-4</v>
      </c>
      <c r="E224" s="3">
        <v>45695</v>
      </c>
      <c r="F224" s="1">
        <v>146.53</v>
      </c>
      <c r="G224" s="4">
        <f t="shared" si="13"/>
        <v>-1.4725658956428189E-2</v>
      </c>
      <c r="I224" s="3">
        <v>45695</v>
      </c>
      <c r="J224" s="1">
        <v>163.345</v>
      </c>
      <c r="K224" s="4">
        <f t="shared" si="14"/>
        <v>-6.5462643467195658E-4</v>
      </c>
      <c r="M224" s="5">
        <v>45695</v>
      </c>
      <c r="N224" s="2">
        <v>23603.35</v>
      </c>
      <c r="O224" s="4">
        <f t="shared" si="15"/>
        <v>-3.922553310010457E-3</v>
      </c>
    </row>
    <row r="225" spans="1:15" x14ac:dyDescent="0.25">
      <c r="A225" s="3">
        <v>45694</v>
      </c>
      <c r="B225" s="1">
        <v>387.55700000000002</v>
      </c>
      <c r="C225" s="4">
        <f t="shared" si="12"/>
        <v>-1.7153537346476622E-2</v>
      </c>
      <c r="E225" s="3">
        <v>45694</v>
      </c>
      <c r="F225" s="1">
        <v>148.72</v>
      </c>
      <c r="G225" s="4">
        <f t="shared" si="13"/>
        <v>-1.4100584167059393E-3</v>
      </c>
      <c r="I225" s="3">
        <v>45694</v>
      </c>
      <c r="J225" s="1">
        <v>163.452</v>
      </c>
      <c r="K225" s="4">
        <f t="shared" si="14"/>
        <v>-6.364780333011133E-3</v>
      </c>
      <c r="M225" s="5">
        <v>45694</v>
      </c>
      <c r="N225" s="2">
        <v>23696.3</v>
      </c>
      <c r="O225" s="4">
        <f t="shared" si="15"/>
        <v>-1.8092399717767327E-3</v>
      </c>
    </row>
    <row r="226" spans="1:15" x14ac:dyDescent="0.25">
      <c r="A226" s="3">
        <v>45693</v>
      </c>
      <c r="B226" s="1">
        <v>394.32100000000003</v>
      </c>
      <c r="C226" s="4">
        <f t="shared" si="12"/>
        <v>-1.0064519368362834E-2</v>
      </c>
      <c r="E226" s="3">
        <v>45693</v>
      </c>
      <c r="F226" s="1">
        <v>148.93</v>
      </c>
      <c r="G226" s="4">
        <f t="shared" si="13"/>
        <v>-5.1436205744821439E-3</v>
      </c>
      <c r="I226" s="3">
        <v>45693</v>
      </c>
      <c r="J226" s="1">
        <v>164.499</v>
      </c>
      <c r="K226" s="4">
        <f t="shared" si="14"/>
        <v>5.212470821162718E-3</v>
      </c>
      <c r="M226" s="5">
        <v>45693</v>
      </c>
      <c r="N226" s="2">
        <v>23739.25</v>
      </c>
      <c r="O226" s="4">
        <f t="shared" si="15"/>
        <v>1.6189340804458663E-2</v>
      </c>
    </row>
    <row r="227" spans="1:15" x14ac:dyDescent="0.25">
      <c r="A227" s="3">
        <v>45692</v>
      </c>
      <c r="B227" s="1">
        <v>398.33</v>
      </c>
      <c r="C227" s="4">
        <f t="shared" si="12"/>
        <v>-1.4739871352007494E-3</v>
      </c>
      <c r="E227" s="3">
        <v>45692</v>
      </c>
      <c r="F227" s="1">
        <v>149.69999999999999</v>
      </c>
      <c r="G227" s="4">
        <f t="shared" si="13"/>
        <v>4.360952700436016E-3</v>
      </c>
      <c r="I227" s="3">
        <v>45692</v>
      </c>
      <c r="J227" s="1">
        <v>163.64599999999999</v>
      </c>
      <c r="K227" s="4">
        <f t="shared" si="14"/>
        <v>1.2736094264425457E-2</v>
      </c>
      <c r="M227" s="5">
        <v>45692</v>
      </c>
      <c r="N227" s="2">
        <v>23361.05</v>
      </c>
      <c r="O227" s="4">
        <f t="shared" si="15"/>
        <v>-6.2679722992633469E-3</v>
      </c>
    </row>
    <row r="228" spans="1:15" x14ac:dyDescent="0.25">
      <c r="A228" s="3">
        <v>45691</v>
      </c>
      <c r="B228" s="1">
        <v>398.91800000000001</v>
      </c>
      <c r="C228" s="4">
        <f t="shared" si="12"/>
        <v>-1.2031100394516159E-4</v>
      </c>
      <c r="E228" s="3">
        <v>45691</v>
      </c>
      <c r="F228" s="1">
        <v>149.05000000000001</v>
      </c>
      <c r="G228" s="4">
        <f t="shared" si="13"/>
        <v>1.6157622034360442E-2</v>
      </c>
      <c r="I228" s="3">
        <v>45691</v>
      </c>
      <c r="J228" s="1">
        <v>161.58799999999999</v>
      </c>
      <c r="K228" s="4">
        <f t="shared" si="14"/>
        <v>-6.7308815303381841E-3</v>
      </c>
      <c r="M228" s="5">
        <v>45691</v>
      </c>
      <c r="N228" s="2">
        <v>23508.400000000001</v>
      </c>
      <c r="O228" s="4">
        <f t="shared" si="15"/>
        <v>1.1135723348889348E-2</v>
      </c>
    </row>
    <row r="229" spans="1:15" x14ac:dyDescent="0.25">
      <c r="A229" s="3">
        <v>45688</v>
      </c>
      <c r="B229" s="1">
        <v>398.96600000000001</v>
      </c>
      <c r="C229" s="4">
        <f t="shared" si="12"/>
        <v>2.8958256873814481E-3</v>
      </c>
      <c r="E229" s="3">
        <v>45688</v>
      </c>
      <c r="F229" s="1">
        <v>146.68</v>
      </c>
      <c r="G229" s="4">
        <f t="shared" si="13"/>
        <v>1.5705018777740776E-3</v>
      </c>
      <c r="I229" s="3">
        <v>45688</v>
      </c>
      <c r="J229" s="1">
        <v>162.68299999999999</v>
      </c>
      <c r="K229" s="4">
        <f t="shared" si="14"/>
        <v>1.1773120218919075E-2</v>
      </c>
      <c r="M229" s="5">
        <v>45688</v>
      </c>
      <c r="N229" s="2">
        <v>23249.5</v>
      </c>
      <c r="O229" s="4">
        <f t="shared" si="15"/>
        <v>3.7300706727512178E-3</v>
      </c>
    </row>
    <row r="230" spans="1:15" x14ac:dyDescent="0.25">
      <c r="A230" s="3">
        <v>45687</v>
      </c>
      <c r="B230" s="1">
        <v>397.81400000000002</v>
      </c>
      <c r="C230" s="4">
        <f t="shared" si="12"/>
        <v>1.2208154375394464E-2</v>
      </c>
      <c r="E230" s="3">
        <v>45687</v>
      </c>
      <c r="F230" s="1">
        <v>146.44999999999999</v>
      </c>
      <c r="G230" s="4">
        <f t="shared" si="13"/>
        <v>9.930349631059876E-3</v>
      </c>
      <c r="I230" s="3">
        <v>45687</v>
      </c>
      <c r="J230" s="1">
        <v>160.79</v>
      </c>
      <c r="K230" s="4">
        <f t="shared" si="14"/>
        <v>-1.0003044404819361E-3</v>
      </c>
      <c r="M230" s="5">
        <v>45687</v>
      </c>
      <c r="N230" s="2">
        <v>23163.1</v>
      </c>
      <c r="O230" s="4">
        <f t="shared" si="15"/>
        <v>8.9666663036731542E-3</v>
      </c>
    </row>
    <row r="231" spans="1:15" x14ac:dyDescent="0.25">
      <c r="A231" s="3">
        <v>45686</v>
      </c>
      <c r="B231" s="1">
        <v>393.01600000000002</v>
      </c>
      <c r="C231" s="4">
        <f t="shared" si="12"/>
        <v>-8.0413526433484872E-3</v>
      </c>
      <c r="E231" s="3">
        <v>45686</v>
      </c>
      <c r="F231" s="1">
        <v>145.01</v>
      </c>
      <c r="G231" s="4">
        <f t="shared" si="13"/>
        <v>-1.446081806913746E-3</v>
      </c>
      <c r="I231" s="3">
        <v>45686</v>
      </c>
      <c r="J231" s="1">
        <v>160.95099999999999</v>
      </c>
      <c r="K231" s="4">
        <f t="shared" si="14"/>
        <v>1.9173901205017607E-2</v>
      </c>
      <c r="M231" s="5">
        <v>45686</v>
      </c>
      <c r="N231" s="2">
        <v>22957.25</v>
      </c>
      <c r="O231" s="4">
        <f t="shared" si="15"/>
        <v>5.6112470240896606E-3</v>
      </c>
    </row>
    <row r="232" spans="1:15" x14ac:dyDescent="0.25">
      <c r="A232" s="3">
        <v>45685</v>
      </c>
      <c r="B232" s="1">
        <v>396.202</v>
      </c>
      <c r="C232" s="4">
        <f t="shared" si="12"/>
        <v>9.8023223806951165E-3</v>
      </c>
      <c r="E232" s="3">
        <v>45685</v>
      </c>
      <c r="F232" s="1">
        <v>145.22</v>
      </c>
      <c r="G232" s="4">
        <f t="shared" si="13"/>
        <v>1.9016209388814875E-2</v>
      </c>
      <c r="I232" s="3">
        <v>45685</v>
      </c>
      <c r="J232" s="1">
        <v>157.923</v>
      </c>
      <c r="K232" s="4">
        <f t="shared" si="14"/>
        <v>-1.96544358355355E-3</v>
      </c>
      <c r="M232" s="5">
        <v>45685</v>
      </c>
      <c r="N232" s="2">
        <v>22829.15</v>
      </c>
      <c r="O232" s="4">
        <f t="shared" si="15"/>
        <v>-1.139129229783209E-2</v>
      </c>
    </row>
    <row r="233" spans="1:15" x14ac:dyDescent="0.25">
      <c r="A233" s="3">
        <v>45684</v>
      </c>
      <c r="B233" s="1">
        <v>392.35599999999999</v>
      </c>
      <c r="C233" s="4">
        <f t="shared" si="12"/>
        <v>-1.3642425908392264E-3</v>
      </c>
      <c r="E233" s="3">
        <v>45684</v>
      </c>
      <c r="F233" s="1">
        <v>142.51</v>
      </c>
      <c r="G233" s="4">
        <f t="shared" si="13"/>
        <v>-2.8060329708889942E-4</v>
      </c>
      <c r="I233" s="3">
        <v>45684</v>
      </c>
      <c r="J233" s="1">
        <v>158.23400000000001</v>
      </c>
      <c r="K233" s="4">
        <f t="shared" si="14"/>
        <v>-2.1924700675604702E-2</v>
      </c>
      <c r="M233" s="5">
        <v>45684</v>
      </c>
      <c r="N233" s="2">
        <v>23092.2</v>
      </c>
      <c r="O233" s="4">
        <f t="shared" si="15"/>
        <v>-4.876030742910431E-3</v>
      </c>
    </row>
    <row r="234" spans="1:15" x14ac:dyDescent="0.25">
      <c r="A234" s="3">
        <v>45681</v>
      </c>
      <c r="B234" s="1">
        <v>392.892</v>
      </c>
      <c r="C234" s="4">
        <f t="shared" si="12"/>
        <v>8.9546872793107024E-3</v>
      </c>
      <c r="E234" s="3">
        <v>45681</v>
      </c>
      <c r="F234" s="1">
        <v>142.55000000000001</v>
      </c>
      <c r="G234" s="4">
        <f t="shared" si="13"/>
        <v>-1.9398775538281621E-2</v>
      </c>
      <c r="I234" s="3">
        <v>45681</v>
      </c>
      <c r="J234" s="1">
        <v>161.78100000000001</v>
      </c>
      <c r="K234" s="4">
        <f t="shared" si="14"/>
        <v>-9.6718310979976296E-3</v>
      </c>
      <c r="M234" s="5">
        <v>45681</v>
      </c>
      <c r="N234" s="2">
        <v>23205.35</v>
      </c>
      <c r="O234" s="4">
        <f t="shared" si="15"/>
        <v>2.1593281898135697E-3</v>
      </c>
    </row>
    <row r="235" spans="1:15" x14ac:dyDescent="0.25">
      <c r="A235" s="3">
        <v>45680</v>
      </c>
      <c r="B235" s="1">
        <v>389.40499999999997</v>
      </c>
      <c r="C235" s="4">
        <f t="shared" si="12"/>
        <v>2.6288415588695546E-3</v>
      </c>
      <c r="E235" s="3">
        <v>45680</v>
      </c>
      <c r="F235" s="1">
        <v>145.37</v>
      </c>
      <c r="G235" s="4">
        <f t="shared" si="13"/>
        <v>-1.4173335141733356E-2</v>
      </c>
      <c r="I235" s="3">
        <v>45680</v>
      </c>
      <c r="J235" s="1">
        <v>163.36099999999999</v>
      </c>
      <c r="K235" s="4">
        <f t="shared" si="14"/>
        <v>8.6502840207458576E-3</v>
      </c>
      <c r="M235" s="5">
        <v>45680</v>
      </c>
      <c r="N235" s="2">
        <v>23155.35</v>
      </c>
      <c r="O235" s="4">
        <f t="shared" si="15"/>
        <v>5.6765249417471964E-3</v>
      </c>
    </row>
    <row r="236" spans="1:15" x14ac:dyDescent="0.25">
      <c r="A236" s="3">
        <v>45679</v>
      </c>
      <c r="B236" s="1">
        <v>388.38400000000001</v>
      </c>
      <c r="C236" s="4">
        <f t="shared" si="12"/>
        <v>-1.6136631927732181E-2</v>
      </c>
      <c r="E236" s="3">
        <v>45679</v>
      </c>
      <c r="F236" s="1">
        <v>147.46</v>
      </c>
      <c r="G236" s="4">
        <f t="shared" si="13"/>
        <v>9.7233634620652598E-3</v>
      </c>
      <c r="I236" s="3">
        <v>45679</v>
      </c>
      <c r="J236" s="1">
        <v>161.96</v>
      </c>
      <c r="K236" s="4">
        <f t="shared" si="14"/>
        <v>-3.5867432002608668E-3</v>
      </c>
      <c r="M236" s="5">
        <v>45679</v>
      </c>
      <c r="N236" s="2">
        <v>23024.65</v>
      </c>
      <c r="O236" s="4">
        <f t="shared" si="15"/>
        <v>-1.3711862410177855E-2</v>
      </c>
    </row>
    <row r="237" spans="1:15" x14ac:dyDescent="0.25">
      <c r="A237" s="3">
        <v>45678</v>
      </c>
      <c r="B237" s="1">
        <v>394.75400000000002</v>
      </c>
      <c r="C237" s="4">
        <f t="shared" si="12"/>
        <v>-8.2554517133955896E-3</v>
      </c>
      <c r="E237" s="3">
        <v>45678</v>
      </c>
      <c r="F237" s="1">
        <v>146.04</v>
      </c>
      <c r="G237" s="4">
        <f t="shared" si="13"/>
        <v>-2.5952738696899402E-3</v>
      </c>
      <c r="I237" s="3">
        <v>45678</v>
      </c>
      <c r="J237" s="1">
        <v>162.54300000000001</v>
      </c>
      <c r="K237" s="4">
        <f t="shared" si="14"/>
        <v>-1.5803527638008297E-2</v>
      </c>
      <c r="M237" s="5">
        <v>45678</v>
      </c>
      <c r="N237" s="2">
        <v>23344.75</v>
      </c>
      <c r="O237" s="4">
        <f t="shared" si="15"/>
        <v>6.1004516618397009E-3</v>
      </c>
    </row>
    <row r="238" spans="1:15" x14ac:dyDescent="0.25">
      <c r="A238" s="3">
        <v>45677</v>
      </c>
      <c r="B238" s="1">
        <v>398.04</v>
      </c>
      <c r="C238" s="4">
        <f t="shared" si="12"/>
        <v>6.1754765582147098E-3</v>
      </c>
      <c r="E238" s="3">
        <v>45677</v>
      </c>
      <c r="F238" s="1">
        <v>146.41999999999999</v>
      </c>
      <c r="G238" s="4">
        <f t="shared" si="13"/>
        <v>-1.9421376908652643E-2</v>
      </c>
      <c r="I238" s="3">
        <v>45677</v>
      </c>
      <c r="J238" s="1">
        <v>165.15299999999999</v>
      </c>
      <c r="K238" s="4">
        <f t="shared" si="14"/>
        <v>5.6140436336622468E-3</v>
      </c>
      <c r="M238" s="5">
        <v>45677</v>
      </c>
      <c r="N238" s="2">
        <v>23203.200000000001</v>
      </c>
      <c r="O238" s="4">
        <f t="shared" si="15"/>
        <v>-4.6585849226571385E-3</v>
      </c>
    </row>
    <row r="239" spans="1:15" x14ac:dyDescent="0.25">
      <c r="A239" s="3">
        <v>45674</v>
      </c>
      <c r="B239" s="1">
        <v>395.59699999999998</v>
      </c>
      <c r="C239" s="4">
        <f t="shared" si="12"/>
        <v>-2.8759533999768161E-3</v>
      </c>
      <c r="E239" s="3">
        <v>45674</v>
      </c>
      <c r="F239" s="1">
        <v>149.32</v>
      </c>
      <c r="G239" s="4">
        <f t="shared" si="13"/>
        <v>5.2511108119024374E-3</v>
      </c>
      <c r="I239" s="3">
        <v>45674</v>
      </c>
      <c r="J239" s="1">
        <v>164.23099999999999</v>
      </c>
      <c r="K239" s="4">
        <f t="shared" si="14"/>
        <v>-5.5224865722435235E-3</v>
      </c>
      <c r="M239" s="5">
        <v>45674</v>
      </c>
      <c r="N239" s="2">
        <v>23311.8</v>
      </c>
      <c r="O239" s="4">
        <f t="shared" si="15"/>
        <v>4.2475832715866968E-3</v>
      </c>
    </row>
    <row r="240" spans="1:15" x14ac:dyDescent="0.25">
      <c r="A240" s="3">
        <v>45673</v>
      </c>
      <c r="B240" s="1">
        <v>396.738</v>
      </c>
      <c r="C240" s="4">
        <f t="shared" si="12"/>
        <v>-1.1833449982440292E-2</v>
      </c>
      <c r="E240" s="3">
        <v>45673</v>
      </c>
      <c r="F240" s="1">
        <v>148.54</v>
      </c>
      <c r="G240" s="4">
        <f t="shared" si="13"/>
        <v>-7.4173070497829396E-3</v>
      </c>
      <c r="I240" s="3">
        <v>45673</v>
      </c>
      <c r="J240" s="1">
        <v>165.143</v>
      </c>
      <c r="K240" s="4">
        <f t="shared" si="14"/>
        <v>7.8852127847861553E-3</v>
      </c>
      <c r="M240" s="5">
        <v>45673</v>
      </c>
      <c r="N240" s="2">
        <v>23213.200000000001</v>
      </c>
      <c r="O240" s="4">
        <f t="shared" si="15"/>
        <v>1.6029478707546563E-3</v>
      </c>
    </row>
    <row r="241" spans="1:15" x14ac:dyDescent="0.25">
      <c r="A241" s="3">
        <v>45672</v>
      </c>
      <c r="B241" s="1">
        <v>401.48899999999998</v>
      </c>
      <c r="C241" s="4">
        <f t="shared" si="12"/>
        <v>5.8750726554825938E-3</v>
      </c>
      <c r="E241" s="3">
        <v>45672</v>
      </c>
      <c r="F241" s="1">
        <v>149.65</v>
      </c>
      <c r="G241" s="4">
        <f t="shared" si="13"/>
        <v>5.1719505642129349E-3</v>
      </c>
      <c r="I241" s="3">
        <v>45672</v>
      </c>
      <c r="J241" s="1">
        <v>163.851</v>
      </c>
      <c r="K241" s="4">
        <f t="shared" si="14"/>
        <v>4.8386503293225136E-3</v>
      </c>
      <c r="M241" s="5">
        <v>45672</v>
      </c>
      <c r="N241" s="2">
        <v>23176.05</v>
      </c>
      <c r="O241" s="4">
        <f t="shared" si="15"/>
        <v>-1.0901990909672921E-2</v>
      </c>
    </row>
    <row r="242" spans="1:15" x14ac:dyDescent="0.25">
      <c r="A242" s="3">
        <v>45671</v>
      </c>
      <c r="B242" s="1">
        <v>399.14400000000001</v>
      </c>
      <c r="C242" s="4">
        <f t="shared" si="12"/>
        <v>-1.0011413010831971E-3</v>
      </c>
      <c r="E242" s="3">
        <v>45671</v>
      </c>
      <c r="F242" s="1">
        <v>148.88</v>
      </c>
      <c r="G242" s="4">
        <f t="shared" si="13"/>
        <v>1.8168360137271744E-3</v>
      </c>
      <c r="I242" s="3">
        <v>45671</v>
      </c>
      <c r="J242" s="1">
        <v>163.06200000000001</v>
      </c>
      <c r="K242" s="4">
        <f t="shared" si="14"/>
        <v>-1.9187739094868039E-2</v>
      </c>
      <c r="M242" s="5">
        <v>45671</v>
      </c>
      <c r="N242" s="2">
        <v>23431.5</v>
      </c>
      <c r="O242" s="4">
        <f t="shared" si="15"/>
        <v>-4.037999702463213E-3</v>
      </c>
    </row>
    <row r="243" spans="1:15" x14ac:dyDescent="0.25">
      <c r="A243" s="3">
        <v>45667</v>
      </c>
      <c r="B243" s="1">
        <v>399.54399999999998</v>
      </c>
      <c r="C243" s="4">
        <f t="shared" si="12"/>
        <v>7.7025902292617854E-3</v>
      </c>
      <c r="E243" s="3">
        <v>45667</v>
      </c>
      <c r="F243" s="1">
        <v>148.61000000000001</v>
      </c>
      <c r="G243" s="4">
        <f t="shared" si="13"/>
        <v>1.1227544910179743E-2</v>
      </c>
      <c r="I243" s="3">
        <v>45667</v>
      </c>
      <c r="J243" s="1">
        <v>166.25200000000001</v>
      </c>
      <c r="K243" s="4">
        <f t="shared" si="14"/>
        <v>-1.3247548728662628E-2</v>
      </c>
      <c r="M243" s="5">
        <v>45667</v>
      </c>
      <c r="N243" s="2">
        <v>23526.5</v>
      </c>
      <c r="O243" s="4">
        <f t="shared" si="15"/>
        <v>-6.8576277124988705E-3</v>
      </c>
    </row>
    <row r="244" spans="1:15" x14ac:dyDescent="0.25">
      <c r="A244" s="3">
        <v>45666</v>
      </c>
      <c r="B244" s="1">
        <v>396.49</v>
      </c>
      <c r="C244" s="4">
        <f t="shared" si="12"/>
        <v>2.2750827877349167E-3</v>
      </c>
      <c r="E244" s="3">
        <v>45666</v>
      </c>
      <c r="F244" s="1">
        <v>146.96</v>
      </c>
      <c r="G244" s="4">
        <f t="shared" si="13"/>
        <v>-2.791374520439216E-2</v>
      </c>
      <c r="I244" s="3">
        <v>45666</v>
      </c>
      <c r="J244" s="1">
        <v>168.48400000000001</v>
      </c>
      <c r="K244" s="4">
        <f t="shared" si="14"/>
        <v>-7.9664619605855913E-3</v>
      </c>
      <c r="M244" s="5">
        <v>45666</v>
      </c>
      <c r="N244" s="2">
        <v>23688.95</v>
      </c>
      <c r="O244" s="4">
        <f t="shared" si="15"/>
        <v>-7.9931162186441806E-4</v>
      </c>
    </row>
    <row r="245" spans="1:15" x14ac:dyDescent="0.25">
      <c r="A245" s="3">
        <v>45665</v>
      </c>
      <c r="B245" s="1">
        <v>395.59</v>
      </c>
      <c r="C245" s="4">
        <f t="shared" si="12"/>
        <v>1.0524433545354483E-2</v>
      </c>
      <c r="E245" s="3">
        <v>45665</v>
      </c>
      <c r="F245" s="1">
        <v>151.18</v>
      </c>
      <c r="G245" s="4">
        <f t="shared" si="13"/>
        <v>-1.3507340946166346E-2</v>
      </c>
      <c r="I245" s="3">
        <v>45665</v>
      </c>
      <c r="J245" s="1">
        <v>169.83699999999999</v>
      </c>
      <c r="K245" s="4">
        <f t="shared" si="14"/>
        <v>-5.6963877993092549E-3</v>
      </c>
      <c r="M245" s="5">
        <v>45665</v>
      </c>
      <c r="N245" s="2">
        <v>23707.9</v>
      </c>
      <c r="O245" s="4">
        <f t="shared" si="15"/>
        <v>3.8893040961549552E-3</v>
      </c>
    </row>
    <row r="246" spans="1:15" x14ac:dyDescent="0.25">
      <c r="A246" s="3">
        <v>45664</v>
      </c>
      <c r="B246" s="1">
        <v>391.47</v>
      </c>
      <c r="C246" s="4">
        <f t="shared" si="12"/>
        <v>-1.8712321556143219E-2</v>
      </c>
      <c r="E246" s="3">
        <v>45664</v>
      </c>
      <c r="F246" s="1">
        <v>153.25</v>
      </c>
      <c r="G246" s="4">
        <f t="shared" si="13"/>
        <v>-9.372979961215222E-3</v>
      </c>
      <c r="I246" s="3">
        <v>45664</v>
      </c>
      <c r="J246" s="1">
        <v>170.81</v>
      </c>
      <c r="K246" s="4">
        <f t="shared" si="14"/>
        <v>5.0366569777704484E-3</v>
      </c>
      <c r="M246" s="5">
        <v>45664</v>
      </c>
      <c r="N246" s="2">
        <v>23616.05</v>
      </c>
      <c r="O246" s="4">
        <f t="shared" si="15"/>
        <v>-1.6192628542267662E-2</v>
      </c>
    </row>
    <row r="247" spans="1:15" x14ac:dyDescent="0.25">
      <c r="A247" s="3">
        <v>45663</v>
      </c>
      <c r="B247" s="1">
        <v>398.935</v>
      </c>
      <c r="C247" s="4">
        <f t="shared" si="12"/>
        <v>-1.0344699271901847E-2</v>
      </c>
      <c r="E247" s="3">
        <v>45663</v>
      </c>
      <c r="F247" s="1">
        <v>154.69999999999999</v>
      </c>
      <c r="G247" s="4">
        <f t="shared" si="13"/>
        <v>-8.015389547932017E-3</v>
      </c>
      <c r="I247" s="3">
        <v>45663</v>
      </c>
      <c r="J247" s="1">
        <v>169.95400000000001</v>
      </c>
      <c r="K247" s="4">
        <f t="shared" si="14"/>
        <v>-1.9047179285903826E-2</v>
      </c>
      <c r="M247" s="5">
        <v>45663</v>
      </c>
      <c r="N247" s="2">
        <v>24004.75</v>
      </c>
      <c r="O247" s="4">
        <f t="shared" si="15"/>
        <v>-7.6027393012839672E-3</v>
      </c>
    </row>
    <row r="248" spans="1:15" x14ac:dyDescent="0.25">
      <c r="A248" s="3">
        <v>45660</v>
      </c>
      <c r="B248" s="1">
        <v>403.10500000000002</v>
      </c>
      <c r="C248" s="4">
        <f t="shared" si="12"/>
        <v>-7.7610779356959148E-3</v>
      </c>
      <c r="E248" s="3">
        <v>45660</v>
      </c>
      <c r="F248" s="1">
        <v>155.94999999999999</v>
      </c>
      <c r="G248" s="4">
        <f t="shared" si="13"/>
        <v>3.281008749356662E-3</v>
      </c>
      <c r="I248" s="3">
        <v>45660</v>
      </c>
      <c r="J248" s="1">
        <v>173.25399999999999</v>
      </c>
      <c r="K248" s="4">
        <f t="shared" si="14"/>
        <v>-5.0707201800881396E-3</v>
      </c>
      <c r="M248" s="5">
        <v>45660</v>
      </c>
      <c r="N248" s="2">
        <v>24188.65</v>
      </c>
      <c r="O248" s="4">
        <f t="shared" si="15"/>
        <v>1.8774033500541298E-2</v>
      </c>
    </row>
    <row r="249" spans="1:15" x14ac:dyDescent="0.25">
      <c r="A249" s="3">
        <v>45659</v>
      </c>
      <c r="B249" s="1">
        <v>406.25799999999998</v>
      </c>
      <c r="C249" s="4">
        <f t="shared" si="12"/>
        <v>-2.0928004716170845E-3</v>
      </c>
      <c r="E249" s="3">
        <v>45659</v>
      </c>
      <c r="F249" s="1">
        <v>155.44</v>
      </c>
      <c r="G249" s="4">
        <f t="shared" si="13"/>
        <v>-1.825301585296546E-2</v>
      </c>
      <c r="I249" s="3">
        <v>45659</v>
      </c>
      <c r="J249" s="1">
        <v>174.137</v>
      </c>
      <c r="K249" s="4">
        <f t="shared" si="14"/>
        <v>1.2442077478095559E-2</v>
      </c>
      <c r="M249" s="5">
        <v>45659</v>
      </c>
      <c r="N249" s="2">
        <v>23742.9</v>
      </c>
      <c r="O249" s="4">
        <f t="shared" si="15"/>
        <v>4.1489037758830616E-3</v>
      </c>
    </row>
    <row r="250" spans="1:15" x14ac:dyDescent="0.25">
      <c r="A250" s="3">
        <v>45658</v>
      </c>
      <c r="B250" s="1">
        <v>407.11</v>
      </c>
      <c r="C250" s="4">
        <f t="shared" si="12"/>
        <v>3.6907101103762496E-3</v>
      </c>
      <c r="E250" s="3">
        <v>45658</v>
      </c>
      <c r="F250" s="1">
        <v>158.33000000000001</v>
      </c>
      <c r="G250" s="4">
        <f t="shared" si="13"/>
        <v>-4.0885645993204989E-3</v>
      </c>
      <c r="I250" s="3">
        <v>45658</v>
      </c>
      <c r="J250" s="1">
        <v>171.99700000000001</v>
      </c>
      <c r="K250" s="4">
        <f t="shared" si="14"/>
        <v>5.4717323060196055E-3</v>
      </c>
      <c r="M250" s="5">
        <v>45658</v>
      </c>
      <c r="N250" s="2">
        <v>23644.799999999999</v>
      </c>
      <c r="O250" s="4">
        <f t="shared" si="15"/>
        <v>-4.2292418238609741E-6</v>
      </c>
    </row>
    <row r="251" spans="1:15" x14ac:dyDescent="0.25">
      <c r="A251" s="3">
        <v>45657</v>
      </c>
      <c r="B251" s="1">
        <v>405.613</v>
      </c>
      <c r="C251" s="4">
        <f t="shared" si="12"/>
        <v>-1.7810096666085573E-2</v>
      </c>
      <c r="E251" s="3">
        <v>45657</v>
      </c>
      <c r="F251" s="1">
        <v>158.97999999999999</v>
      </c>
      <c r="G251" s="4">
        <f t="shared" si="13"/>
        <v>1.3127708386438952E-2</v>
      </c>
      <c r="I251" s="3">
        <v>45657</v>
      </c>
      <c r="J251" s="1">
        <v>171.06100000000001</v>
      </c>
      <c r="K251" s="4">
        <f t="shared" si="14"/>
        <v>1.0709395006964773E-3</v>
      </c>
      <c r="M251" s="5">
        <v>45657</v>
      </c>
      <c r="N251" s="2">
        <v>23644.9</v>
      </c>
      <c r="O251" s="4">
        <f t="shared" si="15"/>
        <v>-7.0758480519371725E-3</v>
      </c>
    </row>
    <row r="252" spans="1:15" x14ac:dyDescent="0.25">
      <c r="A252" s="3">
        <v>45656</v>
      </c>
      <c r="B252" s="1">
        <v>412.96800000000002</v>
      </c>
      <c r="C252" s="4">
        <f t="shared" si="12"/>
        <v>-2.8949674889596766E-3</v>
      </c>
      <c r="E252" s="3">
        <v>45656</v>
      </c>
      <c r="F252" s="1">
        <v>156.91999999999999</v>
      </c>
      <c r="G252" s="4">
        <f t="shared" si="13"/>
        <v>4.8668032786884918E-3</v>
      </c>
      <c r="I252" s="3">
        <v>45656</v>
      </c>
      <c r="J252" s="1">
        <v>170.87799999999999</v>
      </c>
      <c r="K252" s="4">
        <f t="shared" si="14"/>
        <v>-4.1087986572097002E-3</v>
      </c>
      <c r="M252" s="5">
        <v>45656</v>
      </c>
      <c r="N252" s="2">
        <v>23813.4</v>
      </c>
      <c r="O252" s="4">
        <f t="shared" si="15"/>
        <v>2.6610302229033156E-3</v>
      </c>
    </row>
    <row r="253" spans="1:15" x14ac:dyDescent="0.25">
      <c r="A253" s="3">
        <v>45653</v>
      </c>
      <c r="B253" s="1">
        <v>414.16699999999997</v>
      </c>
      <c r="C253" s="4">
        <f t="shared" si="12"/>
        <v>1.0390136323272348E-2</v>
      </c>
      <c r="E253" s="3">
        <v>45653</v>
      </c>
      <c r="F253" s="1">
        <v>156.16</v>
      </c>
      <c r="G253" s="4">
        <f t="shared" si="13"/>
        <v>0</v>
      </c>
      <c r="I253" s="3">
        <v>45653</v>
      </c>
      <c r="J253" s="1">
        <v>171.583</v>
      </c>
      <c r="K253" s="4">
        <f t="shared" si="14"/>
        <v>1.2955106471135291E-3</v>
      </c>
      <c r="M253" s="5">
        <v>45653</v>
      </c>
      <c r="N253" s="2">
        <v>23750.2</v>
      </c>
      <c r="O253" s="4">
        <f t="shared" si="15"/>
        <v>9.5036803054671104E-4</v>
      </c>
    </row>
    <row r="254" spans="1:15" x14ac:dyDescent="0.25">
      <c r="A254" s="3">
        <v>45652</v>
      </c>
      <c r="B254" s="1">
        <v>409.90800000000002</v>
      </c>
      <c r="C254" s="4">
        <f t="shared" si="12"/>
        <v>3.2723810549450949E-3</v>
      </c>
      <c r="E254" s="3">
        <v>45652</v>
      </c>
      <c r="F254" s="1">
        <v>156.16</v>
      </c>
      <c r="G254" s="4">
        <f t="shared" si="13"/>
        <v>-4.6529415514053873E-3</v>
      </c>
      <c r="I254" s="3">
        <v>45652</v>
      </c>
      <c r="J254" s="1">
        <v>171.36099999999999</v>
      </c>
      <c r="K254" s="4">
        <f t="shared" si="14"/>
        <v>-6.7647556232042216E-4</v>
      </c>
      <c r="M254" s="5">
        <v>45652</v>
      </c>
      <c r="N254" s="2">
        <v>23727.65</v>
      </c>
      <c r="O254" s="4">
        <f t="shared" si="15"/>
        <v>-1.0861580107310864E-3</v>
      </c>
    </row>
    <row r="255" spans="1:15" x14ac:dyDescent="0.25">
      <c r="A255" s="3">
        <v>45650</v>
      </c>
      <c r="B255" s="1">
        <v>408.57100000000003</v>
      </c>
      <c r="C255" s="4">
        <f t="shared" si="12"/>
        <v>3.8648838569232957E-3</v>
      </c>
      <c r="E255" s="3">
        <v>45650</v>
      </c>
      <c r="F255" s="1">
        <v>156.88999999999999</v>
      </c>
      <c r="G255" s="4">
        <f t="shared" si="13"/>
        <v>2.1718300862343387E-3</v>
      </c>
      <c r="I255" s="3">
        <v>45650</v>
      </c>
      <c r="J255" s="1">
        <v>171.477</v>
      </c>
      <c r="K255" s="4">
        <f t="shared" si="14"/>
        <v>-6.5854653534591634E-4</v>
      </c>
      <c r="M255" s="5">
        <v>45650</v>
      </c>
      <c r="N255" s="2">
        <v>23753.45</v>
      </c>
      <c r="O255" s="4">
        <f t="shared" si="15"/>
        <v>7.0355060943296799E-3</v>
      </c>
    </row>
    <row r="256" spans="1:15" x14ac:dyDescent="0.25">
      <c r="A256" s="3">
        <v>45649</v>
      </c>
      <c r="B256" s="1">
        <v>406.99799999999999</v>
      </c>
      <c r="C256" s="4">
        <f t="shared" si="12"/>
        <v>-4.39341086219458E-3</v>
      </c>
      <c r="E256" s="3">
        <v>45649</v>
      </c>
      <c r="F256" s="1">
        <v>156.55000000000001</v>
      </c>
      <c r="G256" s="4">
        <f t="shared" si="13"/>
        <v>2.4974385245901676E-3</v>
      </c>
      <c r="I256" s="3">
        <v>45649</v>
      </c>
      <c r="J256" s="1">
        <v>171.59</v>
      </c>
      <c r="K256" s="4">
        <f t="shared" si="14"/>
        <v>1.5876907271856755E-3</v>
      </c>
      <c r="M256" s="5">
        <v>45649</v>
      </c>
      <c r="N256" s="2">
        <v>23587.5</v>
      </c>
      <c r="O256" s="4">
        <f t="shared" si="15"/>
        <v>-1.5205601272561098E-2</v>
      </c>
    </row>
    <row r="257" spans="1:15" x14ac:dyDescent="0.25">
      <c r="A257" s="3">
        <v>45646</v>
      </c>
      <c r="B257" s="1">
        <v>408.79399999999998</v>
      </c>
      <c r="C257" s="4">
        <f t="shared" si="12"/>
        <v>-3.3501984442363408E-4</v>
      </c>
      <c r="E257" s="3">
        <v>45646</v>
      </c>
      <c r="F257" s="1">
        <v>156.16</v>
      </c>
      <c r="G257" s="4">
        <f t="shared" si="13"/>
        <v>-6.4032784785728047E-5</v>
      </c>
      <c r="I257" s="3">
        <v>45646</v>
      </c>
      <c r="J257" s="1">
        <v>171.31800000000001</v>
      </c>
      <c r="K257" s="4">
        <f t="shared" si="14"/>
        <v>-1.7147905706597966E-2</v>
      </c>
      <c r="M257" s="5">
        <v>45646</v>
      </c>
      <c r="N257" s="2">
        <v>23951.7</v>
      </c>
      <c r="O257" s="4">
        <f t="shared" si="15"/>
        <v>-1.0213295259898669E-2</v>
      </c>
    </row>
    <row r="258" spans="1:15" x14ac:dyDescent="0.25">
      <c r="A258" s="3">
        <v>45645</v>
      </c>
      <c r="B258" s="1">
        <v>408.93099999999998</v>
      </c>
      <c r="C258" s="4">
        <f t="shared" si="12"/>
        <v>-4.3020530081383512E-4</v>
      </c>
      <c r="E258" s="3">
        <v>45645</v>
      </c>
      <c r="F258" s="1">
        <v>156.16999999999999</v>
      </c>
      <c r="G258" s="4">
        <f t="shared" si="13"/>
        <v>1.3464991023337536E-3</v>
      </c>
      <c r="I258" s="3">
        <v>45645</v>
      </c>
      <c r="J258" s="1">
        <v>174.30699999999999</v>
      </c>
      <c r="K258" s="4">
        <f t="shared" si="14"/>
        <v>-6.4637114471532975E-3</v>
      </c>
      <c r="M258" s="5">
        <v>45645</v>
      </c>
      <c r="N258" s="2">
        <v>24198.85</v>
      </c>
      <c r="O258" s="4">
        <f t="shared" si="15"/>
        <v>-5.6356837606837962E-3</v>
      </c>
    </row>
    <row r="259" spans="1:15" x14ac:dyDescent="0.25">
      <c r="A259" s="3">
        <v>45644</v>
      </c>
      <c r="B259" s="1">
        <v>409.10700000000003</v>
      </c>
      <c r="C259" s="4">
        <f t="shared" ref="C259:C322" si="16">(B259/B260)-1</f>
        <v>1.1489757003868561E-4</v>
      </c>
      <c r="E259" s="3">
        <v>45644</v>
      </c>
      <c r="F259" s="1">
        <v>155.96</v>
      </c>
      <c r="G259" s="4">
        <f t="shared" ref="G259:G322" si="17">(F259/F260)-1</f>
        <v>-1.8131453034500145E-2</v>
      </c>
      <c r="I259" s="3">
        <v>45644</v>
      </c>
      <c r="J259" s="1">
        <v>175.441</v>
      </c>
      <c r="K259" s="4">
        <f t="shared" ref="K259:K322" si="18">(J259/J260)-1</f>
        <v>-8.3485004352299441E-3</v>
      </c>
      <c r="M259" s="5">
        <v>45644</v>
      </c>
      <c r="N259" s="2">
        <v>24336</v>
      </c>
      <c r="O259" s="4">
        <f t="shared" ref="O259:O322" si="19">(N259/N260)-1</f>
        <v>-1.3468730047733413E-2</v>
      </c>
    </row>
    <row r="260" spans="1:15" x14ac:dyDescent="0.25">
      <c r="A260" s="3">
        <v>45643</v>
      </c>
      <c r="B260" s="1">
        <v>409.06</v>
      </c>
      <c r="C260" s="4">
        <f t="shared" si="16"/>
        <v>4.9824092454646696E-3</v>
      </c>
      <c r="E260" s="3">
        <v>45643</v>
      </c>
      <c r="F260" s="1">
        <v>158.84</v>
      </c>
      <c r="G260" s="4">
        <f t="shared" si="17"/>
        <v>-6.0697077779863218E-3</v>
      </c>
      <c r="I260" s="3">
        <v>45643</v>
      </c>
      <c r="J260" s="1">
        <v>176.91800000000001</v>
      </c>
      <c r="K260" s="4">
        <f t="shared" si="18"/>
        <v>-9.3566793027565209E-3</v>
      </c>
      <c r="M260" s="5">
        <v>45643</v>
      </c>
      <c r="N260" s="2">
        <v>24668.25</v>
      </c>
      <c r="O260" s="4">
        <f t="shared" si="19"/>
        <v>-4.0394375068131261E-3</v>
      </c>
    </row>
    <row r="261" spans="1:15" x14ac:dyDescent="0.25">
      <c r="A261" s="3">
        <v>45642</v>
      </c>
      <c r="B261" s="1">
        <v>407.03199999999998</v>
      </c>
      <c r="C261" s="4">
        <f t="shared" si="16"/>
        <v>-1.7042230051993679E-2</v>
      </c>
      <c r="E261" s="3">
        <v>45642</v>
      </c>
      <c r="F261" s="1">
        <v>159.81</v>
      </c>
      <c r="G261" s="4">
        <f t="shared" si="17"/>
        <v>-6.1567164179104905E-3</v>
      </c>
      <c r="I261" s="3">
        <v>45642</v>
      </c>
      <c r="J261" s="1">
        <v>178.589</v>
      </c>
      <c r="K261" s="4">
        <f t="shared" si="18"/>
        <v>3.3033522283583139E-3</v>
      </c>
      <c r="M261" s="5">
        <v>45642</v>
      </c>
      <c r="N261" s="2">
        <v>24768.3</v>
      </c>
      <c r="O261" s="4">
        <f t="shared" si="19"/>
        <v>8.9454838749098986E-3</v>
      </c>
    </row>
    <row r="262" spans="1:15" x14ac:dyDescent="0.25">
      <c r="A262" s="3">
        <v>45639</v>
      </c>
      <c r="B262" s="1">
        <v>414.089</v>
      </c>
      <c r="C262" s="4">
        <f t="shared" si="16"/>
        <v>-3.7843247638705835E-3</v>
      </c>
      <c r="E262" s="3">
        <v>45639</v>
      </c>
      <c r="F262" s="1">
        <v>160.80000000000001</v>
      </c>
      <c r="G262" s="4">
        <f t="shared" si="17"/>
        <v>-6.794317479925871E-3</v>
      </c>
      <c r="I262" s="3">
        <v>45639</v>
      </c>
      <c r="J262" s="1">
        <v>178.001</v>
      </c>
      <c r="K262" s="4">
        <f t="shared" si="18"/>
        <v>4.3956167970116145E-3</v>
      </c>
      <c r="M262" s="5">
        <v>45639</v>
      </c>
      <c r="N262" s="2">
        <v>24548.7</v>
      </c>
      <c r="O262" s="4">
        <f t="shared" si="19"/>
        <v>-3.778133090926783E-3</v>
      </c>
    </row>
    <row r="263" spans="1:15" x14ac:dyDescent="0.25">
      <c r="A263" s="3">
        <v>45638</v>
      </c>
      <c r="B263" s="1">
        <v>415.66199999999998</v>
      </c>
      <c r="C263" s="4">
        <f t="shared" si="16"/>
        <v>-5.6932078594973401E-3</v>
      </c>
      <c r="E263" s="3">
        <v>45638</v>
      </c>
      <c r="F263" s="1">
        <v>161.9</v>
      </c>
      <c r="G263" s="4">
        <f t="shared" si="17"/>
        <v>1.6704819649817626E-3</v>
      </c>
      <c r="I263" s="3">
        <v>45638</v>
      </c>
      <c r="J263" s="1">
        <v>177.22200000000001</v>
      </c>
      <c r="K263" s="4">
        <f t="shared" si="18"/>
        <v>-5.4491478340900068E-3</v>
      </c>
      <c r="M263" s="5">
        <v>45638</v>
      </c>
      <c r="N263" s="2">
        <v>24641.8</v>
      </c>
      <c r="O263" s="4">
        <f t="shared" si="19"/>
        <v>1.2901233439184256E-3</v>
      </c>
    </row>
    <row r="264" spans="1:15" x14ac:dyDescent="0.25">
      <c r="A264" s="3">
        <v>45637</v>
      </c>
      <c r="B264" s="1">
        <v>418.04199999999997</v>
      </c>
      <c r="C264" s="4">
        <f t="shared" si="16"/>
        <v>-9.1419984403851018E-3</v>
      </c>
      <c r="E264" s="3">
        <v>45637</v>
      </c>
      <c r="F264" s="1">
        <v>161.63</v>
      </c>
      <c r="G264" s="4">
        <f t="shared" si="17"/>
        <v>3.2276084662652416E-3</v>
      </c>
      <c r="I264" s="3">
        <v>45637</v>
      </c>
      <c r="J264" s="1">
        <v>178.19300000000001</v>
      </c>
      <c r="K264" s="4">
        <f t="shared" si="18"/>
        <v>-5.6118612297151316E-6</v>
      </c>
      <c r="M264" s="5">
        <v>45637</v>
      </c>
      <c r="N264" s="2">
        <v>24610.05</v>
      </c>
      <c r="O264" s="4">
        <f t="shared" si="19"/>
        <v>-3.6354035501040549E-4</v>
      </c>
    </row>
    <row r="265" spans="1:15" x14ac:dyDescent="0.25">
      <c r="A265" s="3">
        <v>45636</v>
      </c>
      <c r="B265" s="1">
        <v>421.899</v>
      </c>
      <c r="C265" s="4">
        <f t="shared" si="16"/>
        <v>-1.1245957374270699E-3</v>
      </c>
      <c r="E265" s="3">
        <v>45636</v>
      </c>
      <c r="F265" s="1">
        <v>161.11000000000001</v>
      </c>
      <c r="G265" s="4">
        <f t="shared" si="17"/>
        <v>-4.0798664770971271E-3</v>
      </c>
      <c r="I265" s="3">
        <v>45636</v>
      </c>
      <c r="J265" s="1">
        <v>178.19399999999999</v>
      </c>
      <c r="K265" s="4">
        <f t="shared" si="18"/>
        <v>3.1864345711261066E-3</v>
      </c>
      <c r="M265" s="5">
        <v>45636</v>
      </c>
      <c r="N265" s="2">
        <v>24619</v>
      </c>
      <c r="O265" s="4">
        <f t="shared" si="19"/>
        <v>-2.3827083451523068E-3</v>
      </c>
    </row>
    <row r="266" spans="1:15" x14ac:dyDescent="0.25">
      <c r="A266" s="3">
        <v>45635</v>
      </c>
      <c r="B266" s="1">
        <v>422.37400000000002</v>
      </c>
      <c r="C266" s="4">
        <f t="shared" si="16"/>
        <v>2.2899368546946963E-3</v>
      </c>
      <c r="E266" s="3">
        <v>45635</v>
      </c>
      <c r="F266" s="1">
        <v>161.77000000000001</v>
      </c>
      <c r="G266" s="4">
        <f t="shared" si="17"/>
        <v>3.0917635419247524E-4</v>
      </c>
      <c r="I266" s="3">
        <v>45635</v>
      </c>
      <c r="J266" s="1">
        <v>177.62799999999999</v>
      </c>
      <c r="K266" s="4">
        <f t="shared" si="18"/>
        <v>-1.2875512349810325E-3</v>
      </c>
      <c r="M266" s="5">
        <v>45635</v>
      </c>
      <c r="N266" s="2">
        <v>24677.8</v>
      </c>
      <c r="O266" s="4">
        <f t="shared" si="19"/>
        <v>-1.2384452251057443E-3</v>
      </c>
    </row>
    <row r="267" spans="1:15" x14ac:dyDescent="0.25">
      <c r="A267" s="3">
        <v>45632</v>
      </c>
      <c r="B267" s="1">
        <v>421.40899999999999</v>
      </c>
      <c r="C267" s="4">
        <f t="shared" si="16"/>
        <v>-3.8389440067323477E-3</v>
      </c>
      <c r="E267" s="3">
        <v>45632</v>
      </c>
      <c r="F267" s="1">
        <v>161.72</v>
      </c>
      <c r="G267" s="4">
        <f t="shared" si="17"/>
        <v>3.3502915994538807E-3</v>
      </c>
      <c r="I267" s="3">
        <v>45632</v>
      </c>
      <c r="J267" s="1">
        <v>177.857</v>
      </c>
      <c r="K267" s="4">
        <f t="shared" si="18"/>
        <v>2.1932537763325044E-4</v>
      </c>
      <c r="M267" s="5">
        <v>45632</v>
      </c>
      <c r="N267" s="2">
        <v>24708.400000000001</v>
      </c>
      <c r="O267" s="4">
        <f t="shared" si="19"/>
        <v>9.8477773531773227E-3</v>
      </c>
    </row>
    <row r="268" spans="1:15" x14ac:dyDescent="0.25">
      <c r="A268" s="3">
        <v>45631</v>
      </c>
      <c r="B268" s="1">
        <v>423.03300000000002</v>
      </c>
      <c r="C268" s="4">
        <f t="shared" si="16"/>
        <v>1.4345673927091962E-3</v>
      </c>
      <c r="E268" s="3">
        <v>45631</v>
      </c>
      <c r="F268" s="1">
        <v>161.18</v>
      </c>
      <c r="G268" s="4">
        <f t="shared" si="17"/>
        <v>3.7239324726923151E-4</v>
      </c>
      <c r="I268" s="3">
        <v>45631</v>
      </c>
      <c r="J268" s="1">
        <v>177.81800000000001</v>
      </c>
      <c r="K268" s="4">
        <f t="shared" si="18"/>
        <v>5.8887751234608654E-3</v>
      </c>
      <c r="M268" s="5">
        <v>45631</v>
      </c>
      <c r="N268" s="2">
        <v>24467.45</v>
      </c>
      <c r="O268" s="4">
        <f t="shared" si="19"/>
        <v>4.2114473681520437E-4</v>
      </c>
    </row>
    <row r="269" spans="1:15" x14ac:dyDescent="0.25">
      <c r="A269" s="3">
        <v>45630</v>
      </c>
      <c r="B269" s="1">
        <v>422.42700000000002</v>
      </c>
      <c r="C269" s="4">
        <f t="shared" si="16"/>
        <v>5.8979861574970371E-4</v>
      </c>
      <c r="E269" s="3">
        <v>45630</v>
      </c>
      <c r="F269" s="1">
        <v>161.12</v>
      </c>
      <c r="G269" s="4">
        <f t="shared" si="17"/>
        <v>3.1753938110952173E-3</v>
      </c>
      <c r="I269" s="3">
        <v>45630</v>
      </c>
      <c r="J269" s="1">
        <v>176.77699999999999</v>
      </c>
      <c r="K269" s="4">
        <f t="shared" si="18"/>
        <v>2.5577623265995442E-3</v>
      </c>
      <c r="M269" s="5">
        <v>45630</v>
      </c>
      <c r="N269" s="2">
        <v>24457.15</v>
      </c>
      <c r="O269" s="4">
        <f t="shared" si="19"/>
        <v>7.4600274756395635E-3</v>
      </c>
    </row>
    <row r="270" spans="1:15" x14ac:dyDescent="0.25">
      <c r="A270" s="3">
        <v>45629</v>
      </c>
      <c r="B270" s="1">
        <v>422.178</v>
      </c>
      <c r="C270" s="4">
        <f t="shared" si="16"/>
        <v>-1.386116130985604E-3</v>
      </c>
      <c r="E270" s="3">
        <v>45629</v>
      </c>
      <c r="F270" s="1">
        <v>160.61000000000001</v>
      </c>
      <c r="G270" s="4">
        <f t="shared" si="17"/>
        <v>6.4544429126456304E-3</v>
      </c>
      <c r="I270" s="3">
        <v>45629</v>
      </c>
      <c r="J270" s="1">
        <v>176.32599999999999</v>
      </c>
      <c r="K270" s="4">
        <f t="shared" si="18"/>
        <v>7.231806237861349E-3</v>
      </c>
      <c r="M270" s="5">
        <v>45629</v>
      </c>
      <c r="N270" s="2">
        <v>24276.05</v>
      </c>
      <c r="O270" s="4">
        <f t="shared" si="19"/>
        <v>6.0067713448621607E-3</v>
      </c>
    </row>
    <row r="271" spans="1:15" x14ac:dyDescent="0.25">
      <c r="A271" s="3">
        <v>45628</v>
      </c>
      <c r="B271" s="1">
        <v>422.76400000000001</v>
      </c>
      <c r="C271" s="4">
        <f t="shared" si="16"/>
        <v>1.6537697895591119E-3</v>
      </c>
      <c r="E271" s="3">
        <v>45628</v>
      </c>
      <c r="F271" s="1">
        <v>159.58000000000001</v>
      </c>
      <c r="G271" s="4">
        <f t="shared" si="17"/>
        <v>7.3858973549649765E-3</v>
      </c>
      <c r="I271" s="3">
        <v>45628</v>
      </c>
      <c r="J271" s="1">
        <v>175.06</v>
      </c>
      <c r="K271" s="4">
        <f t="shared" si="18"/>
        <v>5.2888784247067111E-3</v>
      </c>
      <c r="M271" s="5">
        <v>45628</v>
      </c>
      <c r="N271" s="2">
        <v>24131.1</v>
      </c>
      <c r="O271" s="4">
        <f t="shared" si="19"/>
        <v>9.0720347576642713E-3</v>
      </c>
    </row>
    <row r="272" spans="1:15" x14ac:dyDescent="0.25">
      <c r="A272" s="3">
        <v>45625</v>
      </c>
      <c r="B272" s="1">
        <v>422.06599999999997</v>
      </c>
      <c r="C272" s="4">
        <f t="shared" si="16"/>
        <v>4.1539779215835626E-3</v>
      </c>
      <c r="E272" s="3">
        <v>45625</v>
      </c>
      <c r="F272" s="1">
        <v>158.41</v>
      </c>
      <c r="G272" s="4">
        <f t="shared" si="17"/>
        <v>5.9055118110236116E-3</v>
      </c>
      <c r="I272" s="3">
        <v>45625</v>
      </c>
      <c r="J272" s="1">
        <v>174.13900000000001</v>
      </c>
      <c r="K272" s="4">
        <f t="shared" si="18"/>
        <v>5.4156731196703944E-3</v>
      </c>
      <c r="M272" s="5">
        <v>45625</v>
      </c>
      <c r="N272" s="2">
        <v>23914.15</v>
      </c>
      <c r="O272" s="4">
        <f t="shared" si="19"/>
        <v>-1.4861029293632533E-2</v>
      </c>
    </row>
    <row r="273" spans="1:15" x14ac:dyDescent="0.25">
      <c r="A273" s="3">
        <v>45624</v>
      </c>
      <c r="B273" s="1">
        <v>420.32</v>
      </c>
      <c r="C273" s="4">
        <f t="shared" si="16"/>
        <v>2.0813118224709548E-3</v>
      </c>
      <c r="E273" s="3">
        <v>45624</v>
      </c>
      <c r="F273" s="1">
        <v>157.47999999999999</v>
      </c>
      <c r="G273" s="4">
        <f t="shared" si="17"/>
        <v>6.9053708439896777E-3</v>
      </c>
      <c r="I273" s="3">
        <v>45624</v>
      </c>
      <c r="J273" s="1">
        <v>173.20099999999999</v>
      </c>
      <c r="K273" s="4">
        <f t="shared" si="18"/>
        <v>-6.3964294729113025E-3</v>
      </c>
      <c r="M273" s="5">
        <v>45624</v>
      </c>
      <c r="N273" s="2">
        <v>24274.9</v>
      </c>
      <c r="O273" s="4">
        <f t="shared" si="19"/>
        <v>3.3230692926078387E-3</v>
      </c>
    </row>
    <row r="274" spans="1:15" x14ac:dyDescent="0.25">
      <c r="A274" s="3">
        <v>45623</v>
      </c>
      <c r="B274" s="1">
        <v>419.447</v>
      </c>
      <c r="C274" s="4">
        <f t="shared" si="16"/>
        <v>6.9354087546031895E-3</v>
      </c>
      <c r="E274" s="3">
        <v>45623</v>
      </c>
      <c r="F274" s="1">
        <v>156.4</v>
      </c>
      <c r="G274" s="4">
        <f t="shared" si="17"/>
        <v>6.9533865567861231E-3</v>
      </c>
      <c r="I274" s="3">
        <v>45623</v>
      </c>
      <c r="J274" s="1">
        <v>174.316</v>
      </c>
      <c r="K274" s="4">
        <f t="shared" si="18"/>
        <v>6.8968704150829119E-3</v>
      </c>
      <c r="M274" s="5">
        <v>45623</v>
      </c>
      <c r="N274" s="2">
        <v>24194.5</v>
      </c>
      <c r="O274" s="4">
        <f t="shared" si="19"/>
        <v>-1.1312077087264338E-3</v>
      </c>
    </row>
    <row r="275" spans="1:15" x14ac:dyDescent="0.25">
      <c r="A275" s="3">
        <v>45622</v>
      </c>
      <c r="B275" s="1">
        <v>416.55799999999999</v>
      </c>
      <c r="C275" s="4">
        <f t="shared" si="16"/>
        <v>5.2439156822761124E-3</v>
      </c>
      <c r="E275" s="3">
        <v>45622</v>
      </c>
      <c r="F275" s="1">
        <v>155.32</v>
      </c>
      <c r="G275" s="4">
        <f t="shared" si="17"/>
        <v>-8.2370219015389656E-3</v>
      </c>
      <c r="I275" s="3">
        <v>45622</v>
      </c>
      <c r="J275" s="1">
        <v>173.12200000000001</v>
      </c>
      <c r="K275" s="4">
        <f t="shared" si="18"/>
        <v>1.3882301222800653E-3</v>
      </c>
      <c r="M275" s="5">
        <v>45622</v>
      </c>
      <c r="N275" s="2">
        <v>24221.9</v>
      </c>
      <c r="O275" s="4">
        <f t="shared" si="19"/>
        <v>1.3161279528176584E-2</v>
      </c>
    </row>
    <row r="276" spans="1:15" x14ac:dyDescent="0.25">
      <c r="A276" s="3">
        <v>45621</v>
      </c>
      <c r="B276" s="1">
        <v>414.38499999999999</v>
      </c>
      <c r="C276" s="4">
        <f t="shared" si="16"/>
        <v>1.9306090830228939E-5</v>
      </c>
      <c r="E276" s="3">
        <v>45621</v>
      </c>
      <c r="F276" s="1">
        <v>156.61000000000001</v>
      </c>
      <c r="G276" s="4">
        <f t="shared" si="17"/>
        <v>5.3280267043267493E-3</v>
      </c>
      <c r="I276" s="3">
        <v>45621</v>
      </c>
      <c r="J276" s="1">
        <v>172.88200000000001</v>
      </c>
      <c r="K276" s="4">
        <f t="shared" si="18"/>
        <v>1.6080307500617286E-2</v>
      </c>
      <c r="M276" s="5">
        <v>45621</v>
      </c>
      <c r="N276" s="2">
        <v>23907.25</v>
      </c>
      <c r="O276" s="4">
        <f t="shared" si="19"/>
        <v>2.3869481239748191E-2</v>
      </c>
    </row>
    <row r="277" spans="1:15" x14ac:dyDescent="0.25">
      <c r="A277" s="3">
        <v>45618</v>
      </c>
      <c r="B277" s="1">
        <v>414.37700000000001</v>
      </c>
      <c r="C277" s="4">
        <f t="shared" si="16"/>
        <v>6.5952164639924149E-3</v>
      </c>
      <c r="E277" s="3">
        <v>45618</v>
      </c>
      <c r="F277" s="1">
        <v>155.78</v>
      </c>
      <c r="G277" s="4">
        <f t="shared" si="17"/>
        <v>7.0662298451851235E-4</v>
      </c>
      <c r="I277" s="3">
        <v>45618</v>
      </c>
      <c r="J277" s="1">
        <v>170.14599999999999</v>
      </c>
      <c r="K277" s="4">
        <f t="shared" si="18"/>
        <v>1.6713574625483174E-2</v>
      </c>
      <c r="M277" s="5">
        <v>45618</v>
      </c>
      <c r="N277" s="2">
        <v>23349.9</v>
      </c>
      <c r="O277" s="4">
        <f t="shared" si="19"/>
        <v>-7.1688245423814356E-3</v>
      </c>
    </row>
    <row r="278" spans="1:15" x14ac:dyDescent="0.25">
      <c r="A278" s="3">
        <v>45617</v>
      </c>
      <c r="B278" s="1">
        <v>411.66199999999998</v>
      </c>
      <c r="C278" s="4">
        <f t="shared" si="16"/>
        <v>-4.5027616293129569E-3</v>
      </c>
      <c r="E278" s="3">
        <v>45617</v>
      </c>
      <c r="F278" s="1">
        <v>155.66999999999999</v>
      </c>
      <c r="G278" s="4">
        <f t="shared" si="17"/>
        <v>1.3410585248356144E-2</v>
      </c>
      <c r="I278" s="3">
        <v>45617</v>
      </c>
      <c r="J278" s="1">
        <v>167.34899999999999</v>
      </c>
      <c r="K278" s="4">
        <f t="shared" si="18"/>
        <v>-4.6156133828997303E-3</v>
      </c>
      <c r="M278" s="5">
        <v>45617</v>
      </c>
      <c r="N278" s="2">
        <v>23518.5</v>
      </c>
      <c r="O278" s="4">
        <f t="shared" si="19"/>
        <v>2.758614808687776E-3</v>
      </c>
    </row>
    <row r="279" spans="1:15" x14ac:dyDescent="0.25">
      <c r="A279" s="3">
        <v>45615</v>
      </c>
      <c r="B279" s="1">
        <v>413.524</v>
      </c>
      <c r="C279" s="4">
        <f t="shared" si="16"/>
        <v>4.2572206396274126E-3</v>
      </c>
      <c r="E279" s="3">
        <v>45615</v>
      </c>
      <c r="F279" s="1">
        <v>153.61000000000001</v>
      </c>
      <c r="G279" s="4">
        <f t="shared" si="17"/>
        <v>1.5066411154430748E-2</v>
      </c>
      <c r="I279" s="3">
        <v>45615</v>
      </c>
      <c r="J279" s="1">
        <v>168.125</v>
      </c>
      <c r="K279" s="4">
        <f t="shared" si="18"/>
        <v>5.9594684345625204E-3</v>
      </c>
      <c r="M279" s="5">
        <v>45615</v>
      </c>
      <c r="N279" s="2">
        <v>23453.8</v>
      </c>
      <c r="O279" s="4">
        <f t="shared" si="19"/>
        <v>-3.3527814487925856E-3</v>
      </c>
    </row>
    <row r="280" spans="1:15" x14ac:dyDescent="0.25">
      <c r="A280" s="3">
        <v>45614</v>
      </c>
      <c r="B280" s="1">
        <v>411.77100000000002</v>
      </c>
      <c r="C280" s="4">
        <f t="shared" si="16"/>
        <v>-2.1609284708390408E-4</v>
      </c>
      <c r="E280" s="3">
        <v>45614</v>
      </c>
      <c r="F280" s="1">
        <v>151.33000000000001</v>
      </c>
      <c r="G280" s="4">
        <f t="shared" si="17"/>
        <v>-5.4547844374341903E-3</v>
      </c>
      <c r="I280" s="3">
        <v>45614</v>
      </c>
      <c r="J280" s="1">
        <v>167.12899999999999</v>
      </c>
      <c r="K280" s="4">
        <f t="shared" si="18"/>
        <v>-5.3443791771560223E-3</v>
      </c>
      <c r="M280" s="5">
        <v>45614</v>
      </c>
      <c r="N280" s="2">
        <v>23532.7</v>
      </c>
      <c r="O280" s="4">
        <f t="shared" si="19"/>
        <v>-1.1184661520731165E-3</v>
      </c>
    </row>
    <row r="281" spans="1:15" x14ac:dyDescent="0.25">
      <c r="A281" s="3">
        <v>45610</v>
      </c>
      <c r="B281" s="1">
        <v>411.86</v>
      </c>
      <c r="C281" s="4">
        <f t="shared" si="16"/>
        <v>1.3018764434890251E-2</v>
      </c>
      <c r="E281" s="3">
        <v>45610</v>
      </c>
      <c r="F281" s="1">
        <v>152.16</v>
      </c>
      <c r="G281" s="4">
        <f t="shared" si="17"/>
        <v>9.286282833642856E-3</v>
      </c>
      <c r="I281" s="3">
        <v>45610</v>
      </c>
      <c r="J281" s="1">
        <v>168.02699999999999</v>
      </c>
      <c r="K281" s="4">
        <f t="shared" si="18"/>
        <v>1.573648539904493E-3</v>
      </c>
      <c r="M281" s="5">
        <v>45610</v>
      </c>
      <c r="N281" s="2">
        <v>23559.05</v>
      </c>
      <c r="O281" s="4">
        <f t="shared" si="19"/>
        <v>-1.3582627300494754E-2</v>
      </c>
    </row>
    <row r="282" spans="1:15" x14ac:dyDescent="0.25">
      <c r="A282" s="3">
        <v>45609</v>
      </c>
      <c r="B282" s="1">
        <v>406.56700000000001</v>
      </c>
      <c r="C282" s="4">
        <f t="shared" si="16"/>
        <v>1.2574778714777413E-2</v>
      </c>
      <c r="E282" s="3">
        <v>45609</v>
      </c>
      <c r="F282" s="1">
        <v>150.76</v>
      </c>
      <c r="G282" s="4">
        <f t="shared" si="17"/>
        <v>-3.6349216839601795E-3</v>
      </c>
      <c r="I282" s="3">
        <v>45609</v>
      </c>
      <c r="J282" s="1">
        <v>167.76300000000001</v>
      </c>
      <c r="K282" s="4">
        <f t="shared" si="18"/>
        <v>-1.623742171557252E-2</v>
      </c>
      <c r="M282" s="5">
        <v>45609</v>
      </c>
      <c r="N282" s="2">
        <v>23883.45</v>
      </c>
      <c r="O282" s="4">
        <f t="shared" si="19"/>
        <v>-1.0680866399075395E-2</v>
      </c>
    </row>
    <row r="283" spans="1:15" x14ac:dyDescent="0.25">
      <c r="A283" s="3">
        <v>45608</v>
      </c>
      <c r="B283" s="1">
        <v>401.51799999999997</v>
      </c>
      <c r="C283" s="4">
        <f t="shared" si="16"/>
        <v>-4.3518906547178604E-3</v>
      </c>
      <c r="E283" s="3">
        <v>45608</v>
      </c>
      <c r="F283" s="1">
        <v>151.31</v>
      </c>
      <c r="G283" s="4">
        <f t="shared" si="17"/>
        <v>2.5177234479558663E-3</v>
      </c>
      <c r="I283" s="3">
        <v>45608</v>
      </c>
      <c r="J283" s="1">
        <v>170.53200000000001</v>
      </c>
      <c r="K283" s="4">
        <f t="shared" si="18"/>
        <v>-9.1167395889621972E-3</v>
      </c>
      <c r="M283" s="5">
        <v>45608</v>
      </c>
      <c r="N283" s="2">
        <v>24141.3</v>
      </c>
      <c r="O283" s="4">
        <f t="shared" si="19"/>
        <v>-2.8573558277644739E-4</v>
      </c>
    </row>
    <row r="284" spans="1:15" x14ac:dyDescent="0.25">
      <c r="A284" s="3">
        <v>45607</v>
      </c>
      <c r="B284" s="1">
        <v>403.27300000000002</v>
      </c>
      <c r="C284" s="4">
        <f t="shared" si="16"/>
        <v>3.6260377884405059E-3</v>
      </c>
      <c r="E284" s="3">
        <v>45607</v>
      </c>
      <c r="F284" s="1">
        <v>150.93</v>
      </c>
      <c r="G284" s="4">
        <f t="shared" si="17"/>
        <v>-1.8660598179453869E-2</v>
      </c>
      <c r="I284" s="3">
        <v>45607</v>
      </c>
      <c r="J284" s="1">
        <v>172.101</v>
      </c>
      <c r="K284" s="4">
        <f t="shared" si="18"/>
        <v>6.9731359935820691E-5</v>
      </c>
      <c r="M284" s="5">
        <v>45607</v>
      </c>
      <c r="N284" s="2">
        <v>24148.2</v>
      </c>
      <c r="O284" s="4">
        <f t="shared" si="19"/>
        <v>-2.1136931363857636E-3</v>
      </c>
    </row>
    <row r="285" spans="1:15" x14ac:dyDescent="0.25">
      <c r="A285" s="3">
        <v>45604</v>
      </c>
      <c r="B285" s="1">
        <v>401.81599999999997</v>
      </c>
      <c r="C285" s="4">
        <f t="shared" si="16"/>
        <v>-3.113595371535216E-3</v>
      </c>
      <c r="E285" s="3">
        <v>45604</v>
      </c>
      <c r="F285" s="1">
        <v>153.80000000000001</v>
      </c>
      <c r="G285" s="4">
        <f t="shared" si="17"/>
        <v>-1.2710232378995934E-2</v>
      </c>
      <c r="I285" s="3">
        <v>45604</v>
      </c>
      <c r="J285" s="1">
        <v>172.089</v>
      </c>
      <c r="K285" s="4">
        <f t="shared" si="18"/>
        <v>-8.1782972543053001E-3</v>
      </c>
      <c r="M285" s="5">
        <v>45604</v>
      </c>
      <c r="N285" s="2">
        <v>24199.35</v>
      </c>
      <c r="O285" s="4">
        <f t="shared" si="19"/>
        <v>-1.1627978214388546E-2</v>
      </c>
    </row>
    <row r="286" spans="1:15" x14ac:dyDescent="0.25">
      <c r="A286" s="3">
        <v>45603</v>
      </c>
      <c r="B286" s="1">
        <v>403.07100000000003</v>
      </c>
      <c r="C286" s="4">
        <f t="shared" si="16"/>
        <v>-1.7363651923274492E-4</v>
      </c>
      <c r="E286" s="3">
        <v>45603</v>
      </c>
      <c r="F286" s="1">
        <v>155.78</v>
      </c>
      <c r="G286" s="4">
        <f t="shared" si="17"/>
        <v>-3.0718034045820186E-3</v>
      </c>
      <c r="I286" s="3">
        <v>45603</v>
      </c>
      <c r="J286" s="1">
        <v>173.50800000000001</v>
      </c>
      <c r="K286" s="4">
        <f t="shared" si="18"/>
        <v>-9.9400855920113163E-3</v>
      </c>
      <c r="M286" s="5">
        <v>45603</v>
      </c>
      <c r="N286" s="2">
        <v>24484.05</v>
      </c>
      <c r="O286" s="4">
        <f t="shared" si="19"/>
        <v>1.1181871120417242E-2</v>
      </c>
    </row>
    <row r="287" spans="1:15" x14ac:dyDescent="0.25">
      <c r="A287" s="3">
        <v>45602</v>
      </c>
      <c r="B287" s="1">
        <v>403.14100000000002</v>
      </c>
      <c r="C287" s="4">
        <f t="shared" si="16"/>
        <v>-1.4587799339540242E-2</v>
      </c>
      <c r="E287" s="3">
        <v>45602</v>
      </c>
      <c r="F287" s="1">
        <v>156.26</v>
      </c>
      <c r="G287" s="4">
        <f t="shared" si="17"/>
        <v>-8.3766975504506735E-3</v>
      </c>
      <c r="I287" s="3">
        <v>45602</v>
      </c>
      <c r="J287" s="1">
        <v>175.25</v>
      </c>
      <c r="K287" s="4">
        <f t="shared" si="18"/>
        <v>1.4471780028943559E-2</v>
      </c>
      <c r="M287" s="5">
        <v>45602</v>
      </c>
      <c r="N287" s="2">
        <v>24213.3</v>
      </c>
      <c r="O287" s="4">
        <f t="shared" si="19"/>
        <v>9.0830098331551312E-3</v>
      </c>
    </row>
    <row r="288" spans="1:15" x14ac:dyDescent="0.25">
      <c r="A288" s="3">
        <v>45601</v>
      </c>
      <c r="B288" s="1">
        <v>409.10899999999998</v>
      </c>
      <c r="C288" s="4">
        <f t="shared" si="16"/>
        <v>-1.065260184661232E-2</v>
      </c>
      <c r="E288" s="3">
        <v>45601</v>
      </c>
      <c r="F288" s="1">
        <v>157.58000000000001</v>
      </c>
      <c r="G288" s="4">
        <f t="shared" si="17"/>
        <v>-5.1767676767676685E-3</v>
      </c>
      <c r="I288" s="3">
        <v>45601</v>
      </c>
      <c r="J288" s="1">
        <v>172.75</v>
      </c>
      <c r="K288" s="4">
        <f t="shared" si="18"/>
        <v>6.5901794090397203E-3</v>
      </c>
      <c r="M288" s="5">
        <v>45601</v>
      </c>
      <c r="N288" s="2">
        <v>23995.35</v>
      </c>
      <c r="O288" s="4">
        <f t="shared" si="19"/>
        <v>-8.6757679603889359E-3</v>
      </c>
    </row>
    <row r="289" spans="1:15" x14ac:dyDescent="0.25">
      <c r="A289" s="3">
        <v>45600</v>
      </c>
      <c r="B289" s="1">
        <v>413.51400000000001</v>
      </c>
      <c r="C289" s="4">
        <f t="shared" si="16"/>
        <v>-1.2462865009781332E-3</v>
      </c>
      <c r="E289" s="3">
        <v>45600</v>
      </c>
      <c r="F289" s="1">
        <v>158.4</v>
      </c>
      <c r="G289" s="4">
        <f t="shared" si="17"/>
        <v>1.7145058755538622E-2</v>
      </c>
      <c r="I289" s="3">
        <v>45600</v>
      </c>
      <c r="J289" s="1">
        <v>171.619</v>
      </c>
      <c r="K289" s="4">
        <f t="shared" si="18"/>
        <v>-8.5843851997342568E-3</v>
      </c>
      <c r="M289" s="5">
        <v>45600</v>
      </c>
      <c r="N289" s="2">
        <v>24205.35</v>
      </c>
      <c r="O289" s="4">
        <f t="shared" si="19"/>
        <v>-5.5667735514577377E-3</v>
      </c>
    </row>
    <row r="290" spans="1:15" x14ac:dyDescent="0.25">
      <c r="A290" s="3">
        <v>45596</v>
      </c>
      <c r="B290" s="1">
        <v>414.03</v>
      </c>
      <c r="C290" s="4">
        <f t="shared" si="16"/>
        <v>-7.1365879627631745E-3</v>
      </c>
      <c r="E290" s="3">
        <v>45596</v>
      </c>
      <c r="F290" s="1">
        <v>155.72999999999999</v>
      </c>
      <c r="G290" s="4">
        <f t="shared" si="17"/>
        <v>8.6793186087181784E-3</v>
      </c>
      <c r="I290" s="3">
        <v>45596</v>
      </c>
      <c r="J290" s="1">
        <v>173.10499999999999</v>
      </c>
      <c r="K290" s="4">
        <f t="shared" si="18"/>
        <v>-3.735165809132468E-3</v>
      </c>
      <c r="M290" s="5">
        <v>45596</v>
      </c>
      <c r="N290" s="2">
        <v>24340.85</v>
      </c>
      <c r="O290" s="4">
        <f t="shared" si="19"/>
        <v>-5.1498251716097787E-3</v>
      </c>
    </row>
    <row r="291" spans="1:15" x14ac:dyDescent="0.25">
      <c r="A291" s="3">
        <v>45595</v>
      </c>
      <c r="B291" s="1">
        <v>417.00599999999997</v>
      </c>
      <c r="C291" s="4">
        <f t="shared" si="16"/>
        <v>-4.6639297307619065E-3</v>
      </c>
      <c r="E291" s="3">
        <v>45595</v>
      </c>
      <c r="F291" s="1">
        <v>154.38999999999999</v>
      </c>
      <c r="G291" s="4">
        <f t="shared" si="17"/>
        <v>-6.3714763804866292E-3</v>
      </c>
      <c r="I291" s="3">
        <v>45595</v>
      </c>
      <c r="J291" s="1">
        <v>173.75399999999999</v>
      </c>
      <c r="K291" s="4">
        <f t="shared" si="18"/>
        <v>-8.3381733074949782E-4</v>
      </c>
      <c r="M291" s="5">
        <v>45595</v>
      </c>
      <c r="N291" s="2">
        <v>24466.85</v>
      </c>
      <c r="O291" s="4">
        <f t="shared" si="19"/>
        <v>5.2466910307056303E-3</v>
      </c>
    </row>
    <row r="292" spans="1:15" x14ac:dyDescent="0.25">
      <c r="A292" s="3">
        <v>45594</v>
      </c>
      <c r="B292" s="1">
        <v>418.96</v>
      </c>
      <c r="C292" s="4">
        <f t="shared" si="16"/>
        <v>1.3672579111512206E-2</v>
      </c>
      <c r="E292" s="3">
        <v>45594</v>
      </c>
      <c r="F292" s="1">
        <v>155.38</v>
      </c>
      <c r="G292" s="4">
        <f t="shared" si="17"/>
        <v>-1.7987922394963052E-3</v>
      </c>
      <c r="I292" s="3">
        <v>45594</v>
      </c>
      <c r="J292" s="1">
        <v>173.899</v>
      </c>
      <c r="K292" s="4">
        <f t="shared" si="18"/>
        <v>7.2284550914851753E-3</v>
      </c>
      <c r="M292" s="5">
        <v>45594</v>
      </c>
      <c r="N292" s="2">
        <v>24339.15</v>
      </c>
      <c r="O292" s="4">
        <f t="shared" si="19"/>
        <v>6.5485840005294893E-3</v>
      </c>
    </row>
    <row r="293" spans="1:15" x14ac:dyDescent="0.25">
      <c r="A293" s="3">
        <v>45593</v>
      </c>
      <c r="B293" s="1">
        <v>413.30900000000003</v>
      </c>
      <c r="C293" s="4">
        <f t="shared" si="16"/>
        <v>6.5265726483030306E-3</v>
      </c>
      <c r="E293" s="3">
        <v>45593</v>
      </c>
      <c r="F293" s="1">
        <v>155.66</v>
      </c>
      <c r="G293" s="4">
        <f t="shared" si="17"/>
        <v>-4.6041693311165144E-3</v>
      </c>
      <c r="I293" s="3">
        <v>45593</v>
      </c>
      <c r="J293" s="1">
        <v>172.65100000000001</v>
      </c>
      <c r="K293" s="4">
        <f t="shared" si="18"/>
        <v>9.0294904912744389E-3</v>
      </c>
      <c r="M293" s="5">
        <v>45593</v>
      </c>
      <c r="N293" s="2">
        <v>24180.799999999999</v>
      </c>
      <c r="O293" s="4">
        <f t="shared" si="19"/>
        <v>-8.9592367025419506E-3</v>
      </c>
    </row>
    <row r="294" spans="1:15" x14ac:dyDescent="0.25">
      <c r="A294" s="3">
        <v>45590</v>
      </c>
      <c r="B294" s="1">
        <v>410.62900000000002</v>
      </c>
      <c r="C294" s="4">
        <f t="shared" si="16"/>
        <v>-3.9586572583872881E-3</v>
      </c>
      <c r="E294" s="3">
        <v>45590</v>
      </c>
      <c r="F294" s="1">
        <v>156.38</v>
      </c>
      <c r="G294" s="4">
        <f t="shared" si="17"/>
        <v>8.5128337417772482E-3</v>
      </c>
      <c r="I294" s="3">
        <v>45590</v>
      </c>
      <c r="J294" s="1">
        <v>171.10599999999999</v>
      </c>
      <c r="K294" s="4">
        <f t="shared" si="18"/>
        <v>-1.2215538441999407E-2</v>
      </c>
      <c r="M294" s="5">
        <v>45590</v>
      </c>
      <c r="N294" s="2">
        <v>24399.4</v>
      </c>
      <c r="O294" s="4">
        <f t="shared" si="19"/>
        <v>-1.4773587608192251E-3</v>
      </c>
    </row>
    <row r="295" spans="1:15" x14ac:dyDescent="0.25">
      <c r="A295" s="3">
        <v>45589</v>
      </c>
      <c r="B295" s="1">
        <v>412.26100000000002</v>
      </c>
      <c r="C295" s="4">
        <f t="shared" si="16"/>
        <v>-2.1686671168585914E-3</v>
      </c>
      <c r="E295" s="3">
        <v>45589</v>
      </c>
      <c r="F295" s="1">
        <v>155.06</v>
      </c>
      <c r="G295" s="4">
        <f t="shared" si="17"/>
        <v>3.6895591947698758E-3</v>
      </c>
      <c r="I295" s="3">
        <v>45589</v>
      </c>
      <c r="J295" s="1">
        <v>173.22200000000001</v>
      </c>
      <c r="K295" s="4">
        <f t="shared" si="18"/>
        <v>-3.5148677178671317E-3</v>
      </c>
      <c r="M295" s="5">
        <v>45589</v>
      </c>
      <c r="N295" s="2">
        <v>24435.5</v>
      </c>
      <c r="O295" s="4">
        <f t="shared" si="19"/>
        <v>-1.4955806816742134E-3</v>
      </c>
    </row>
    <row r="296" spans="1:15" x14ac:dyDescent="0.25">
      <c r="A296" s="3">
        <v>45588</v>
      </c>
      <c r="B296" s="1">
        <v>413.15699999999998</v>
      </c>
      <c r="C296" s="4">
        <f t="shared" si="16"/>
        <v>-3.5044982031307015E-3</v>
      </c>
      <c r="E296" s="3">
        <v>45588</v>
      </c>
      <c r="F296" s="1">
        <v>154.49</v>
      </c>
      <c r="G296" s="4">
        <f t="shared" si="17"/>
        <v>-1.113742559047548E-2</v>
      </c>
      <c r="I296" s="3">
        <v>45588</v>
      </c>
      <c r="J296" s="1">
        <v>173.833</v>
      </c>
      <c r="K296" s="4">
        <f t="shared" si="18"/>
        <v>4.776978417266875E-4</v>
      </c>
      <c r="M296" s="5">
        <v>45588</v>
      </c>
      <c r="N296" s="2">
        <v>24472.1</v>
      </c>
      <c r="O296" s="4">
        <f t="shared" si="19"/>
        <v>-1.2469180141317371E-2</v>
      </c>
    </row>
    <row r="297" spans="1:15" x14ac:dyDescent="0.25">
      <c r="A297" s="3">
        <v>45587</v>
      </c>
      <c r="B297" s="1">
        <v>414.61</v>
      </c>
      <c r="C297" s="4">
        <f t="shared" si="16"/>
        <v>2.5219613750613323E-3</v>
      </c>
      <c r="E297" s="3">
        <v>45587</v>
      </c>
      <c r="F297" s="1">
        <v>156.22999999999999</v>
      </c>
      <c r="G297" s="4">
        <f t="shared" si="17"/>
        <v>-1.7252396166135275E-3</v>
      </c>
      <c r="I297" s="3">
        <v>45587</v>
      </c>
      <c r="J297" s="1">
        <v>173.75</v>
      </c>
      <c r="K297" s="4">
        <f t="shared" si="18"/>
        <v>-1.6639311789009015E-2</v>
      </c>
      <c r="M297" s="5">
        <v>45587</v>
      </c>
      <c r="N297" s="2">
        <v>24781.1</v>
      </c>
      <c r="O297" s="4">
        <f t="shared" si="19"/>
        <v>-2.9351353199982277E-3</v>
      </c>
    </row>
    <row r="298" spans="1:15" x14ac:dyDescent="0.25">
      <c r="A298" s="3">
        <v>45586</v>
      </c>
      <c r="B298" s="1">
        <v>413.56700000000001</v>
      </c>
      <c r="C298" s="4">
        <f t="shared" si="16"/>
        <v>4.7300908605023562E-3</v>
      </c>
      <c r="E298" s="3">
        <v>45586</v>
      </c>
      <c r="F298" s="1">
        <v>156.5</v>
      </c>
      <c r="G298" s="4">
        <f t="shared" si="17"/>
        <v>3.1408243061343821E-3</v>
      </c>
      <c r="I298" s="3">
        <v>45586</v>
      </c>
      <c r="J298" s="1">
        <v>176.69</v>
      </c>
      <c r="K298" s="4">
        <f t="shared" si="18"/>
        <v>-1.0162237260789686E-2</v>
      </c>
      <c r="M298" s="5">
        <v>45586</v>
      </c>
      <c r="N298" s="2">
        <v>24854.05</v>
      </c>
      <c r="O298" s="4">
        <f t="shared" si="19"/>
        <v>4.2101265260194864E-3</v>
      </c>
    </row>
    <row r="299" spans="1:15" x14ac:dyDescent="0.25">
      <c r="A299" s="3">
        <v>45583</v>
      </c>
      <c r="B299" s="1">
        <v>411.62</v>
      </c>
      <c r="C299" s="4">
        <f t="shared" si="16"/>
        <v>-1.2721743051491319E-2</v>
      </c>
      <c r="E299" s="3">
        <v>45583</v>
      </c>
      <c r="F299" s="1">
        <v>156.01</v>
      </c>
      <c r="G299" s="4">
        <f t="shared" si="17"/>
        <v>-1.966821666457208E-2</v>
      </c>
      <c r="I299" s="3">
        <v>45583</v>
      </c>
      <c r="J299" s="1">
        <v>178.50399999999999</v>
      </c>
      <c r="K299" s="4">
        <f t="shared" si="18"/>
        <v>2.9892342615691625E-3</v>
      </c>
      <c r="M299" s="5">
        <v>45583</v>
      </c>
      <c r="N299" s="2">
        <v>24749.85</v>
      </c>
      <c r="O299" s="4">
        <f t="shared" si="19"/>
        <v>-8.8681806714108191E-3</v>
      </c>
    </row>
    <row r="300" spans="1:15" x14ac:dyDescent="0.25">
      <c r="A300" s="3">
        <v>45582</v>
      </c>
      <c r="B300" s="1">
        <v>416.92399999999998</v>
      </c>
      <c r="C300" s="4">
        <f t="shared" si="16"/>
        <v>-5.2979179901468942E-4</v>
      </c>
      <c r="E300" s="3">
        <v>45582</v>
      </c>
      <c r="F300" s="1">
        <v>159.13999999999999</v>
      </c>
      <c r="G300" s="4">
        <f t="shared" si="17"/>
        <v>-7.2364316905803028E-3</v>
      </c>
      <c r="I300" s="3">
        <v>45582</v>
      </c>
      <c r="J300" s="1">
        <v>177.97200000000001</v>
      </c>
      <c r="K300" s="4">
        <f t="shared" si="18"/>
        <v>-9.8970242168332501E-3</v>
      </c>
      <c r="M300" s="5">
        <v>45582</v>
      </c>
      <c r="N300" s="2">
        <v>24971.3</v>
      </c>
      <c r="O300" s="4">
        <f t="shared" si="19"/>
        <v>-3.4341221238478603E-3</v>
      </c>
    </row>
    <row r="301" spans="1:15" x14ac:dyDescent="0.25">
      <c r="A301" s="3">
        <v>45581</v>
      </c>
      <c r="B301" s="1">
        <v>417.14499999999998</v>
      </c>
      <c r="C301" s="4">
        <f t="shared" si="16"/>
        <v>-1.3902105210172877E-4</v>
      </c>
      <c r="E301" s="3">
        <v>45581</v>
      </c>
      <c r="F301" s="1">
        <v>160.30000000000001</v>
      </c>
      <c r="G301" s="4">
        <f t="shared" si="17"/>
        <v>-3.741581441756292E-4</v>
      </c>
      <c r="I301" s="3">
        <v>45581</v>
      </c>
      <c r="J301" s="1">
        <v>179.751</v>
      </c>
      <c r="K301" s="4">
        <f t="shared" si="18"/>
        <v>-1.3999766670554914E-3</v>
      </c>
      <c r="M301" s="5">
        <v>45581</v>
      </c>
      <c r="N301" s="2">
        <v>25057.35</v>
      </c>
      <c r="O301" s="4">
        <f t="shared" si="19"/>
        <v>-2.809620362982379E-3</v>
      </c>
    </row>
    <row r="302" spans="1:15" x14ac:dyDescent="0.25">
      <c r="A302" s="3">
        <v>45580</v>
      </c>
      <c r="B302" s="1">
        <v>417.20299999999997</v>
      </c>
      <c r="C302" s="4">
        <f t="shared" si="16"/>
        <v>-1.6772718702865785E-2</v>
      </c>
      <c r="E302" s="3">
        <v>45580</v>
      </c>
      <c r="F302" s="1">
        <v>160.36000000000001</v>
      </c>
      <c r="G302" s="4">
        <f t="shared" si="17"/>
        <v>-1.1892291576806824E-2</v>
      </c>
      <c r="I302" s="3">
        <v>45580</v>
      </c>
      <c r="J302" s="1">
        <v>180.00299999999999</v>
      </c>
      <c r="K302" s="4">
        <f t="shared" si="18"/>
        <v>2.0039745495230576E-3</v>
      </c>
      <c r="M302" s="5">
        <v>45580</v>
      </c>
      <c r="N302" s="2">
        <v>25127.95</v>
      </c>
      <c r="O302" s="4">
        <f t="shared" si="19"/>
        <v>6.5573770491802463E-3</v>
      </c>
    </row>
    <row r="303" spans="1:15" x14ac:dyDescent="0.25">
      <c r="A303" s="3">
        <v>45579</v>
      </c>
      <c r="B303" s="1">
        <v>424.32</v>
      </c>
      <c r="C303" s="4">
        <f t="shared" si="16"/>
        <v>-6.8275921795163397E-3</v>
      </c>
      <c r="E303" s="3">
        <v>45579</v>
      </c>
      <c r="F303" s="1">
        <v>162.29</v>
      </c>
      <c r="G303" s="4">
        <f t="shared" si="17"/>
        <v>-5.4540997671284064E-3</v>
      </c>
      <c r="I303" s="3">
        <v>45579</v>
      </c>
      <c r="J303" s="1">
        <v>179.643</v>
      </c>
      <c r="K303" s="4">
        <f t="shared" si="18"/>
        <v>3.6818933535958109E-3</v>
      </c>
      <c r="M303" s="5">
        <v>45579</v>
      </c>
      <c r="N303" s="2">
        <v>24964.25</v>
      </c>
      <c r="O303" s="4">
        <f t="shared" si="19"/>
        <v>-1.3680848212589414E-3</v>
      </c>
    </row>
    <row r="304" spans="1:15" x14ac:dyDescent="0.25">
      <c r="A304" s="3">
        <v>45576</v>
      </c>
      <c r="B304" s="1">
        <v>427.23700000000002</v>
      </c>
      <c r="C304" s="4">
        <f t="shared" si="16"/>
        <v>4.9726784954002845E-3</v>
      </c>
      <c r="E304" s="3">
        <v>45576</v>
      </c>
      <c r="F304" s="1">
        <v>163.18</v>
      </c>
      <c r="G304" s="4">
        <f t="shared" si="17"/>
        <v>4.1228232108794227E-3</v>
      </c>
      <c r="I304" s="3">
        <v>45576</v>
      </c>
      <c r="J304" s="1">
        <v>178.98400000000001</v>
      </c>
      <c r="K304" s="4">
        <f t="shared" si="18"/>
        <v>2.3577112839727743E-3</v>
      </c>
      <c r="M304" s="5">
        <v>45576</v>
      </c>
      <c r="N304" s="2">
        <v>24998.45</v>
      </c>
      <c r="O304" s="4">
        <f t="shared" si="19"/>
        <v>6.6047686429593355E-4</v>
      </c>
    </row>
    <row r="305" spans="1:15" x14ac:dyDescent="0.25">
      <c r="A305" s="3">
        <v>45575</v>
      </c>
      <c r="B305" s="1">
        <v>425.12299999999999</v>
      </c>
      <c r="C305" s="4">
        <f t="shared" si="16"/>
        <v>-9.6905770785240541E-3</v>
      </c>
      <c r="E305" s="3">
        <v>45575</v>
      </c>
      <c r="F305" s="1">
        <v>162.51</v>
      </c>
      <c r="G305" s="4">
        <f t="shared" si="17"/>
        <v>6.6902062813603003E-3</v>
      </c>
      <c r="I305" s="3">
        <v>45575</v>
      </c>
      <c r="J305" s="1">
        <v>178.56299999999999</v>
      </c>
      <c r="K305" s="4">
        <f t="shared" si="18"/>
        <v>-4.086522313532237E-4</v>
      </c>
      <c r="M305" s="5">
        <v>45575</v>
      </c>
      <c r="N305" s="2">
        <v>24981.95</v>
      </c>
      <c r="O305" s="4">
        <f t="shared" si="19"/>
        <v>-1.2473438971101203E-3</v>
      </c>
    </row>
    <row r="306" spans="1:15" x14ac:dyDescent="0.25">
      <c r="A306" s="3">
        <v>45574</v>
      </c>
      <c r="B306" s="1">
        <v>429.28300000000002</v>
      </c>
      <c r="C306" s="4">
        <f t="shared" si="16"/>
        <v>8.2064481233579123E-4</v>
      </c>
      <c r="E306" s="3">
        <v>45574</v>
      </c>
      <c r="F306" s="1">
        <v>161.43</v>
      </c>
      <c r="G306" s="4">
        <f t="shared" si="17"/>
        <v>9.9212500775092138E-4</v>
      </c>
      <c r="I306" s="3">
        <v>45574</v>
      </c>
      <c r="J306" s="1">
        <v>178.636</v>
      </c>
      <c r="K306" s="4">
        <f t="shared" si="18"/>
        <v>6.2469370856264028E-3</v>
      </c>
      <c r="M306" s="5">
        <v>45574</v>
      </c>
      <c r="N306" s="2">
        <v>25013.15</v>
      </c>
      <c r="O306" s="4">
        <f t="shared" si="19"/>
        <v>8.7676315497615676E-3</v>
      </c>
    </row>
    <row r="307" spans="1:15" x14ac:dyDescent="0.25">
      <c r="A307" s="3">
        <v>45573</v>
      </c>
      <c r="B307" s="1">
        <v>428.93099999999998</v>
      </c>
      <c r="C307" s="4">
        <f t="shared" si="16"/>
        <v>-1.5316965750985512E-3</v>
      </c>
      <c r="E307" s="3">
        <v>45573</v>
      </c>
      <c r="F307" s="1">
        <v>161.27000000000001</v>
      </c>
      <c r="G307" s="4">
        <f t="shared" si="17"/>
        <v>-1.238620177122618E-3</v>
      </c>
      <c r="I307" s="3">
        <v>45573</v>
      </c>
      <c r="J307" s="1">
        <v>177.52699999999999</v>
      </c>
      <c r="K307" s="4">
        <f t="shared" si="18"/>
        <v>1.0818382139420324E-2</v>
      </c>
      <c r="M307" s="5">
        <v>45573</v>
      </c>
      <c r="N307" s="2">
        <v>24795.75</v>
      </c>
      <c r="O307" s="4">
        <f t="shared" si="19"/>
        <v>-8.7488906478615514E-3</v>
      </c>
    </row>
    <row r="308" spans="1:15" x14ac:dyDescent="0.25">
      <c r="A308" s="3">
        <v>45572</v>
      </c>
      <c r="B308" s="1">
        <v>429.589</v>
      </c>
      <c r="C308" s="4">
        <f t="shared" si="16"/>
        <v>5.549859790551892E-3</v>
      </c>
      <c r="E308" s="3">
        <v>45572</v>
      </c>
      <c r="F308" s="1">
        <v>161.47</v>
      </c>
      <c r="G308" s="4">
        <f t="shared" si="17"/>
        <v>7.9905112678693158E-3</v>
      </c>
      <c r="I308" s="3">
        <v>45572</v>
      </c>
      <c r="J308" s="1">
        <v>175.62700000000001</v>
      </c>
      <c r="K308" s="4">
        <f t="shared" si="18"/>
        <v>-1.6734223137904847E-2</v>
      </c>
      <c r="M308" s="5">
        <v>45572</v>
      </c>
      <c r="N308" s="2">
        <v>25014.6</v>
      </c>
      <c r="O308" s="4">
        <f t="shared" si="19"/>
        <v>-9.3266957358584257E-3</v>
      </c>
    </row>
    <row r="309" spans="1:15" x14ac:dyDescent="0.25">
      <c r="A309" s="3">
        <v>45569</v>
      </c>
      <c r="B309" s="1">
        <v>427.21800000000002</v>
      </c>
      <c r="C309" s="4">
        <f t="shared" si="16"/>
        <v>1.9559833389619641E-3</v>
      </c>
      <c r="E309" s="3">
        <v>45569</v>
      </c>
      <c r="F309" s="1">
        <v>160.19</v>
      </c>
      <c r="G309" s="4">
        <f t="shared" si="17"/>
        <v>1.8178351236254997E-2</v>
      </c>
      <c r="I309" s="3">
        <v>45569</v>
      </c>
      <c r="J309" s="1">
        <v>178.61600000000001</v>
      </c>
      <c r="K309" s="4">
        <f t="shared" si="18"/>
        <v>-9.7244552863557931E-3</v>
      </c>
      <c r="M309" s="5">
        <v>45569</v>
      </c>
      <c r="N309" s="2">
        <v>25250.1</v>
      </c>
      <c r="O309" s="4">
        <f t="shared" si="19"/>
        <v>-2.1196345297303298E-2</v>
      </c>
    </row>
    <row r="310" spans="1:15" x14ac:dyDescent="0.25">
      <c r="A310" s="3">
        <v>45568</v>
      </c>
      <c r="B310" s="1">
        <v>426.38400000000001</v>
      </c>
      <c r="C310" s="4">
        <f t="shared" si="16"/>
        <v>-1.0612950611122995E-3</v>
      </c>
      <c r="E310" s="3">
        <v>45568</v>
      </c>
      <c r="F310" s="1">
        <v>157.33000000000001</v>
      </c>
      <c r="G310" s="4">
        <f t="shared" si="17"/>
        <v>-1.5580027530972207E-2</v>
      </c>
      <c r="I310" s="3">
        <v>45568</v>
      </c>
      <c r="J310" s="1">
        <v>180.37</v>
      </c>
      <c r="K310" s="4">
        <f t="shared" si="18"/>
        <v>-1.8704300139275709E-2</v>
      </c>
      <c r="M310" s="5">
        <v>45568</v>
      </c>
      <c r="N310" s="2">
        <v>25796.9</v>
      </c>
      <c r="O310" s="4">
        <f t="shared" si="19"/>
        <v>-5.4047038357885047E-4</v>
      </c>
    </row>
    <row r="311" spans="1:15" x14ac:dyDescent="0.25">
      <c r="A311" s="3">
        <v>45566</v>
      </c>
      <c r="B311" s="1">
        <v>426.83699999999999</v>
      </c>
      <c r="C311" s="4">
        <f t="shared" si="16"/>
        <v>2.9300500481683756E-3</v>
      </c>
      <c r="E311" s="3">
        <v>45566</v>
      </c>
      <c r="F311" s="1">
        <v>159.82</v>
      </c>
      <c r="G311" s="4">
        <f t="shared" si="17"/>
        <v>-8.1300813008130524E-3</v>
      </c>
      <c r="I311" s="3">
        <v>45566</v>
      </c>
      <c r="J311" s="1">
        <v>183.80799999999999</v>
      </c>
      <c r="K311" s="4">
        <f t="shared" si="18"/>
        <v>3.9160854438502479E-3</v>
      </c>
      <c r="M311" s="5">
        <v>45566</v>
      </c>
      <c r="N311" s="2">
        <v>25810.85</v>
      </c>
      <c r="O311" s="4">
        <f t="shared" si="19"/>
        <v>-1.4060915353747983E-2</v>
      </c>
    </row>
    <row r="312" spans="1:15" x14ac:dyDescent="0.25">
      <c r="A312" s="3">
        <v>45565</v>
      </c>
      <c r="B312" s="1">
        <v>425.59</v>
      </c>
      <c r="C312" s="4">
        <f t="shared" si="16"/>
        <v>8.4449773236718872E-3</v>
      </c>
      <c r="E312" s="3">
        <v>45565</v>
      </c>
      <c r="F312" s="1">
        <v>161.13</v>
      </c>
      <c r="G312" s="4">
        <f t="shared" si="17"/>
        <v>-1.8696711327649163E-2</v>
      </c>
      <c r="I312" s="3">
        <v>45565</v>
      </c>
      <c r="J312" s="1">
        <v>183.09100000000001</v>
      </c>
      <c r="K312" s="4">
        <f t="shared" si="18"/>
        <v>-1.1131394745938383E-2</v>
      </c>
      <c r="M312" s="5">
        <v>45565</v>
      </c>
      <c r="N312" s="2">
        <v>26178.95</v>
      </c>
      <c r="O312" s="4">
        <f t="shared" si="19"/>
        <v>-1.4151636116043198E-3</v>
      </c>
    </row>
    <row r="313" spans="1:15" x14ac:dyDescent="0.25">
      <c r="A313" s="3">
        <v>45562</v>
      </c>
      <c r="B313" s="1">
        <v>422.02600000000001</v>
      </c>
      <c r="C313" s="4">
        <f t="shared" si="16"/>
        <v>-1.5499101873235888E-2</v>
      </c>
      <c r="E313" s="3">
        <v>45562</v>
      </c>
      <c r="F313" s="1">
        <v>164.2</v>
      </c>
      <c r="G313" s="4">
        <f t="shared" si="17"/>
        <v>2.6256335104108963E-3</v>
      </c>
      <c r="I313" s="3">
        <v>45562</v>
      </c>
      <c r="J313" s="1">
        <v>185.15199999999999</v>
      </c>
      <c r="K313" s="4">
        <f t="shared" si="18"/>
        <v>-1.4580486988269303E-4</v>
      </c>
      <c r="M313" s="5">
        <v>45562</v>
      </c>
      <c r="N313" s="2">
        <v>26216.05</v>
      </c>
      <c r="O313" s="4">
        <f t="shared" si="19"/>
        <v>8.1486993422204002E-3</v>
      </c>
    </row>
    <row r="314" spans="1:15" x14ac:dyDescent="0.25">
      <c r="A314" s="3">
        <v>45561</v>
      </c>
      <c r="B314" s="1">
        <v>428.67</v>
      </c>
      <c r="C314" s="4">
        <f t="shared" si="16"/>
        <v>-6.1070613766622817E-3</v>
      </c>
      <c r="E314" s="3">
        <v>45561</v>
      </c>
      <c r="F314" s="1">
        <v>163.77000000000001</v>
      </c>
      <c r="G314" s="4">
        <f t="shared" si="17"/>
        <v>-9.3158308632266262E-3</v>
      </c>
      <c r="I314" s="3">
        <v>45561</v>
      </c>
      <c r="J314" s="1">
        <v>185.179</v>
      </c>
      <c r="K314" s="4">
        <f t="shared" si="18"/>
        <v>5.2057322766256853E-3</v>
      </c>
      <c r="M314" s="5">
        <v>45561</v>
      </c>
      <c r="N314" s="2">
        <v>26004.15</v>
      </c>
      <c r="O314" s="4">
        <f t="shared" si="19"/>
        <v>2.4575565527131804E-3</v>
      </c>
    </row>
    <row r="315" spans="1:15" x14ac:dyDescent="0.25">
      <c r="A315" s="3">
        <v>45560</v>
      </c>
      <c r="B315" s="1">
        <v>431.30399999999997</v>
      </c>
      <c r="C315" s="4">
        <f t="shared" si="16"/>
        <v>-1.4389820864211922E-2</v>
      </c>
      <c r="E315" s="3">
        <v>45560</v>
      </c>
      <c r="F315" s="1">
        <v>165.31</v>
      </c>
      <c r="G315" s="4">
        <f t="shared" si="17"/>
        <v>-6.6497400556153607E-4</v>
      </c>
      <c r="I315" s="3">
        <v>45560</v>
      </c>
      <c r="J315" s="1">
        <v>184.22</v>
      </c>
      <c r="K315" s="4">
        <f t="shared" si="18"/>
        <v>-9.0028527111596368E-4</v>
      </c>
      <c r="M315" s="5">
        <v>45560</v>
      </c>
      <c r="N315" s="2">
        <v>25940.400000000001</v>
      </c>
      <c r="O315" s="4">
        <f t="shared" si="19"/>
        <v>5.2045082607143911E-5</v>
      </c>
    </row>
    <row r="316" spans="1:15" x14ac:dyDescent="0.25">
      <c r="A316" s="3">
        <v>45559</v>
      </c>
      <c r="B316" s="1">
        <v>437.601</v>
      </c>
      <c r="C316" s="4">
        <f t="shared" si="16"/>
        <v>7.4323768054962436E-4</v>
      </c>
      <c r="E316" s="3">
        <v>45559</v>
      </c>
      <c r="F316" s="1">
        <v>165.42</v>
      </c>
      <c r="G316" s="4">
        <f t="shared" si="17"/>
        <v>-1.2075836251661531E-3</v>
      </c>
      <c r="I316" s="3">
        <v>45559</v>
      </c>
      <c r="J316" s="1">
        <v>184.386</v>
      </c>
      <c r="K316" s="4">
        <f t="shared" si="18"/>
        <v>1.7602764285946648E-3</v>
      </c>
      <c r="M316" s="5">
        <v>45559</v>
      </c>
      <c r="N316" s="2">
        <v>25939.05</v>
      </c>
      <c r="O316" s="4">
        <f t="shared" si="19"/>
        <v>5.7423243424534753E-3</v>
      </c>
    </row>
    <row r="317" spans="1:15" x14ac:dyDescent="0.25">
      <c r="A317" s="3">
        <v>45558</v>
      </c>
      <c r="B317" s="1">
        <v>437.27600000000001</v>
      </c>
      <c r="C317" s="4">
        <f t="shared" si="16"/>
        <v>-7.2445835896899347E-3</v>
      </c>
      <c r="E317" s="3">
        <v>45558</v>
      </c>
      <c r="F317" s="1">
        <v>165.62</v>
      </c>
      <c r="G317" s="4">
        <f t="shared" si="17"/>
        <v>-2.6496447067324569E-3</v>
      </c>
      <c r="I317" s="3">
        <v>45558</v>
      </c>
      <c r="J317" s="1">
        <v>184.06200000000001</v>
      </c>
      <c r="K317" s="4">
        <f t="shared" si="18"/>
        <v>8.1169898126849382E-3</v>
      </c>
      <c r="M317" s="5">
        <v>45558</v>
      </c>
      <c r="N317" s="2">
        <v>25790.95</v>
      </c>
      <c r="O317" s="4">
        <f t="shared" si="19"/>
        <v>1.4760503308965278E-2</v>
      </c>
    </row>
    <row r="318" spans="1:15" x14ac:dyDescent="0.25">
      <c r="A318" s="3">
        <v>45555</v>
      </c>
      <c r="B318" s="1">
        <v>440.46699999999998</v>
      </c>
      <c r="C318" s="4">
        <f t="shared" si="16"/>
        <v>1.7284237003276637E-3</v>
      </c>
      <c r="E318" s="3">
        <v>45555</v>
      </c>
      <c r="F318" s="1">
        <v>166.06</v>
      </c>
      <c r="G318" s="4">
        <f t="shared" si="17"/>
        <v>1.266204401567661E-3</v>
      </c>
      <c r="I318" s="3">
        <v>45555</v>
      </c>
      <c r="J318" s="1">
        <v>182.58</v>
      </c>
      <c r="K318" s="4">
        <f t="shared" si="18"/>
        <v>1.0420759614160779E-2</v>
      </c>
      <c r="M318" s="5">
        <v>45555</v>
      </c>
      <c r="N318" s="2">
        <v>25415.8</v>
      </c>
      <c r="O318" s="4">
        <f t="shared" si="19"/>
        <v>1.5072376963103373E-3</v>
      </c>
    </row>
    <row r="319" spans="1:15" x14ac:dyDescent="0.25">
      <c r="A319" s="3">
        <v>45554</v>
      </c>
      <c r="B319" s="1">
        <v>439.70699999999999</v>
      </c>
      <c r="C319" s="4">
        <f t="shared" si="16"/>
        <v>5.1870207892319442E-3</v>
      </c>
      <c r="E319" s="3">
        <v>45554</v>
      </c>
      <c r="F319" s="1">
        <v>165.85</v>
      </c>
      <c r="G319" s="4">
        <f t="shared" si="17"/>
        <v>9.618311316734518E-3</v>
      </c>
      <c r="I319" s="3">
        <v>45554</v>
      </c>
      <c r="J319" s="1">
        <v>180.697</v>
      </c>
      <c r="K319" s="4">
        <f t="shared" si="18"/>
        <v>-4.3419566355347161E-3</v>
      </c>
      <c r="M319" s="5">
        <v>45554</v>
      </c>
      <c r="N319" s="2">
        <v>25377.55</v>
      </c>
      <c r="O319" s="4">
        <f t="shared" si="19"/>
        <v>-1.6129952337957665E-3</v>
      </c>
    </row>
    <row r="320" spans="1:15" x14ac:dyDescent="0.25">
      <c r="A320" s="3">
        <v>45553</v>
      </c>
      <c r="B320" s="1">
        <v>437.43799999999999</v>
      </c>
      <c r="C320" s="4">
        <f t="shared" si="16"/>
        <v>-9.5465175765552246E-4</v>
      </c>
      <c r="E320" s="3">
        <v>45553</v>
      </c>
      <c r="F320" s="1">
        <v>164.27</v>
      </c>
      <c r="G320" s="4">
        <f t="shared" si="17"/>
        <v>1.451333992094872E-2</v>
      </c>
      <c r="I320" s="3">
        <v>45553</v>
      </c>
      <c r="J320" s="1">
        <v>181.48500000000001</v>
      </c>
      <c r="K320" s="4">
        <f t="shared" si="18"/>
        <v>-4.4488085311799042E-3</v>
      </c>
      <c r="M320" s="5">
        <v>45553</v>
      </c>
      <c r="N320" s="2">
        <v>25418.55</v>
      </c>
      <c r="O320" s="4">
        <f t="shared" si="19"/>
        <v>1.3709558280394774E-3</v>
      </c>
    </row>
    <row r="321" spans="1:15" x14ac:dyDescent="0.25">
      <c r="A321" s="3">
        <v>45552</v>
      </c>
      <c r="B321" s="1">
        <v>437.85599999999999</v>
      </c>
      <c r="C321" s="4">
        <f t="shared" si="16"/>
        <v>2.1629118973887085E-3</v>
      </c>
      <c r="E321" s="3">
        <v>45552</v>
      </c>
      <c r="F321" s="1">
        <v>161.91999999999999</v>
      </c>
      <c r="G321" s="4">
        <f t="shared" si="17"/>
        <v>1.3605442176871652E-3</v>
      </c>
      <c r="I321" s="3">
        <v>45552</v>
      </c>
      <c r="J321" s="1">
        <v>182.29599999999999</v>
      </c>
      <c r="K321" s="4">
        <f t="shared" si="18"/>
        <v>1.3237757820439011E-3</v>
      </c>
      <c r="M321" s="5">
        <v>45552</v>
      </c>
      <c r="N321" s="2">
        <v>25383.75</v>
      </c>
      <c r="O321" s="4">
        <f t="shared" si="19"/>
        <v>1.0746751326089488E-3</v>
      </c>
    </row>
    <row r="322" spans="1:15" x14ac:dyDescent="0.25">
      <c r="A322" s="3">
        <v>45551</v>
      </c>
      <c r="B322" s="1">
        <v>436.911</v>
      </c>
      <c r="C322" s="4">
        <f t="shared" si="16"/>
        <v>6.1046377746050151E-3</v>
      </c>
      <c r="E322" s="3">
        <v>45551</v>
      </c>
      <c r="F322" s="1">
        <v>161.69999999999999</v>
      </c>
      <c r="G322" s="4">
        <f t="shared" si="17"/>
        <v>-7.4156470152020315E-4</v>
      </c>
      <c r="I322" s="3">
        <v>45551</v>
      </c>
      <c r="J322" s="1">
        <v>182.05500000000001</v>
      </c>
      <c r="K322" s="4">
        <f t="shared" si="18"/>
        <v>-8.6163370140268647E-4</v>
      </c>
      <c r="M322" s="5">
        <v>45551</v>
      </c>
      <c r="N322" s="2">
        <v>25356.5</v>
      </c>
      <c r="O322" s="4">
        <f t="shared" si="19"/>
        <v>-1.276148238009589E-3</v>
      </c>
    </row>
    <row r="323" spans="1:15" x14ac:dyDescent="0.25">
      <c r="A323" s="3">
        <v>45548</v>
      </c>
      <c r="B323" s="1">
        <v>434.26</v>
      </c>
      <c r="C323" s="4">
        <f t="shared" ref="C323:C386" si="20">(B323/B324)-1</f>
        <v>1.0170090814351607E-2</v>
      </c>
      <c r="E323" s="3">
        <v>45548</v>
      </c>
      <c r="F323" s="1">
        <v>161.82</v>
      </c>
      <c r="G323" s="4">
        <f t="shared" ref="G323:G386" si="21">(F323/F324)-1</f>
        <v>-8.0271688792832308E-4</v>
      </c>
      <c r="I323" s="3">
        <v>45548</v>
      </c>
      <c r="J323" s="1">
        <v>182.21199999999999</v>
      </c>
      <c r="K323" s="4">
        <f t="shared" ref="K323:K386" si="22">(J323/J324)-1</f>
        <v>1.6987075529264484E-3</v>
      </c>
      <c r="M323" s="5">
        <v>45548</v>
      </c>
      <c r="N323" s="2">
        <v>25388.9</v>
      </c>
      <c r="O323" s="4">
        <f t="shared" ref="O323:O386" si="23">(N323/N324)-1</f>
        <v>1.8879585206944993E-2</v>
      </c>
    </row>
    <row r="324" spans="1:15" x14ac:dyDescent="0.25">
      <c r="A324" s="3">
        <v>45547</v>
      </c>
      <c r="B324" s="1">
        <v>429.88799999999998</v>
      </c>
      <c r="C324" s="4">
        <f t="shared" si="20"/>
        <v>-3.715025342359457E-3</v>
      </c>
      <c r="E324" s="3">
        <v>45547</v>
      </c>
      <c r="F324" s="1">
        <v>161.94999999999999</v>
      </c>
      <c r="G324" s="4">
        <f t="shared" si="21"/>
        <v>1.4222112292852085E-3</v>
      </c>
      <c r="I324" s="3">
        <v>45547</v>
      </c>
      <c r="J324" s="1">
        <v>181.90299999999999</v>
      </c>
      <c r="K324" s="4">
        <f t="shared" si="22"/>
        <v>1.523100449842052E-2</v>
      </c>
      <c r="M324" s="5">
        <v>45547</v>
      </c>
      <c r="N324" s="2">
        <v>24918.45</v>
      </c>
      <c r="O324" s="4">
        <f t="shared" si="23"/>
        <v>-4.8979477738596566E-3</v>
      </c>
    </row>
    <row r="325" spans="1:15" x14ac:dyDescent="0.25">
      <c r="A325" s="3">
        <v>45546</v>
      </c>
      <c r="B325" s="1">
        <v>431.49099999999999</v>
      </c>
      <c r="C325" s="4">
        <f t="shared" si="20"/>
        <v>-2.6004586053219869E-3</v>
      </c>
      <c r="E325" s="3">
        <v>45546</v>
      </c>
      <c r="F325" s="1">
        <v>161.72</v>
      </c>
      <c r="G325" s="4">
        <f t="shared" si="21"/>
        <v>1.8585057613680345E-3</v>
      </c>
      <c r="I325" s="3">
        <v>45546</v>
      </c>
      <c r="J325" s="1">
        <v>179.17400000000001</v>
      </c>
      <c r="K325" s="4">
        <f t="shared" si="22"/>
        <v>-2.9603908606278262E-3</v>
      </c>
      <c r="M325" s="5">
        <v>45546</v>
      </c>
      <c r="N325" s="2">
        <v>25041.1</v>
      </c>
      <c r="O325" s="4">
        <f t="shared" si="23"/>
        <v>4.1986814455974297E-3</v>
      </c>
    </row>
    <row r="326" spans="1:15" x14ac:dyDescent="0.25">
      <c r="A326" s="3">
        <v>45545</v>
      </c>
      <c r="B326" s="1">
        <v>432.61599999999999</v>
      </c>
      <c r="C326" s="4">
        <f t="shared" si="20"/>
        <v>-9.2375339479378038E-4</v>
      </c>
      <c r="E326" s="3">
        <v>45545</v>
      </c>
      <c r="F326" s="1">
        <v>161.41999999999999</v>
      </c>
      <c r="G326" s="4">
        <f t="shared" si="21"/>
        <v>1.6434733329135254E-2</v>
      </c>
      <c r="I326" s="3">
        <v>45545</v>
      </c>
      <c r="J326" s="1">
        <v>179.70599999999999</v>
      </c>
      <c r="K326" s="4">
        <f t="shared" si="22"/>
        <v>6.5420246670175874E-3</v>
      </c>
      <c r="M326" s="5">
        <v>45545</v>
      </c>
      <c r="N326" s="2">
        <v>24936.400000000001</v>
      </c>
      <c r="O326" s="4">
        <f t="shared" si="23"/>
        <v>3.3900487482974029E-3</v>
      </c>
    </row>
    <row r="327" spans="1:15" x14ac:dyDescent="0.25">
      <c r="A327" s="3">
        <v>45544</v>
      </c>
      <c r="B327" s="1">
        <v>433.01600000000002</v>
      </c>
      <c r="C327" s="4">
        <f t="shared" si="20"/>
        <v>1.3968159995561003E-3</v>
      </c>
      <c r="E327" s="3">
        <v>45544</v>
      </c>
      <c r="F327" s="1">
        <v>158.81</v>
      </c>
      <c r="G327" s="4">
        <f t="shared" si="21"/>
        <v>-3.2636666039038698E-3</v>
      </c>
      <c r="I327" s="3">
        <v>45544</v>
      </c>
      <c r="J327" s="1">
        <v>178.53800000000001</v>
      </c>
      <c r="K327" s="4">
        <f t="shared" si="22"/>
        <v>-1.4318153853037918E-3</v>
      </c>
      <c r="M327" s="5">
        <v>45544</v>
      </c>
      <c r="N327" s="2">
        <v>24852.15</v>
      </c>
      <c r="O327" s="4">
        <f t="shared" si="23"/>
        <v>-1.16503811875871E-2</v>
      </c>
    </row>
    <row r="328" spans="1:15" x14ac:dyDescent="0.25">
      <c r="A328" s="3">
        <v>45541</v>
      </c>
      <c r="B328" s="1">
        <v>432.41199999999998</v>
      </c>
      <c r="C328" s="4">
        <f t="shared" si="20"/>
        <v>2.9968454258675337E-3</v>
      </c>
      <c r="E328" s="3">
        <v>45541</v>
      </c>
      <c r="F328" s="1">
        <v>159.33000000000001</v>
      </c>
      <c r="G328" s="4">
        <f t="shared" si="21"/>
        <v>8.736942070275644E-3</v>
      </c>
      <c r="I328" s="3">
        <v>45541</v>
      </c>
      <c r="J328" s="1">
        <v>178.79400000000001</v>
      </c>
      <c r="K328" s="4">
        <f t="shared" si="22"/>
        <v>-1.310385940121872E-2</v>
      </c>
      <c r="M328" s="5">
        <v>45541</v>
      </c>
      <c r="N328" s="2">
        <v>25145.1</v>
      </c>
      <c r="O328" s="4">
        <f t="shared" si="23"/>
        <v>-2.127093858016571E-3</v>
      </c>
    </row>
    <row r="329" spans="1:15" x14ac:dyDescent="0.25">
      <c r="A329" s="3">
        <v>45540</v>
      </c>
      <c r="B329" s="1">
        <v>431.12</v>
      </c>
      <c r="C329" s="4">
        <f t="shared" si="20"/>
        <v>1.119984988682865E-2</v>
      </c>
      <c r="E329" s="3">
        <v>45540</v>
      </c>
      <c r="F329" s="1">
        <v>157.94999999999999</v>
      </c>
      <c r="G329" s="4">
        <f t="shared" si="21"/>
        <v>-1.5171629053670754E-3</v>
      </c>
      <c r="I329" s="3">
        <v>45540</v>
      </c>
      <c r="J329" s="1">
        <v>181.16800000000001</v>
      </c>
      <c r="K329" s="4">
        <f t="shared" si="22"/>
        <v>2.8008103530350326E-3</v>
      </c>
      <c r="M329" s="5">
        <v>45540</v>
      </c>
      <c r="N329" s="2">
        <v>25198.7</v>
      </c>
      <c r="O329" s="4">
        <f t="shared" si="23"/>
        <v>-3.2100665154262131E-3</v>
      </c>
    </row>
    <row r="330" spans="1:15" x14ac:dyDescent="0.25">
      <c r="A330" s="3">
        <v>45539</v>
      </c>
      <c r="B330" s="1">
        <v>426.34500000000003</v>
      </c>
      <c r="C330" s="4">
        <f t="shared" si="20"/>
        <v>-5.9570995570061847E-3</v>
      </c>
      <c r="E330" s="3">
        <v>45539</v>
      </c>
      <c r="F330" s="1">
        <v>158.19</v>
      </c>
      <c r="G330" s="4">
        <f t="shared" si="21"/>
        <v>-8.8345864661654172E-3</v>
      </c>
      <c r="I330" s="3">
        <v>45539</v>
      </c>
      <c r="J330" s="1">
        <v>180.66200000000001</v>
      </c>
      <c r="K330" s="4">
        <f t="shared" si="22"/>
        <v>-1.2604345182153365E-3</v>
      </c>
      <c r="M330" s="5">
        <v>45539</v>
      </c>
      <c r="N330" s="2">
        <v>25279.85</v>
      </c>
      <c r="O330" s="4">
        <f t="shared" si="23"/>
        <v>4.5492845755390476E-5</v>
      </c>
    </row>
    <row r="331" spans="1:15" x14ac:dyDescent="0.25">
      <c r="A331" s="3">
        <v>45538</v>
      </c>
      <c r="B331" s="1">
        <v>428.9</v>
      </c>
      <c r="C331" s="4">
        <f t="shared" si="20"/>
        <v>6.0045972697846395E-3</v>
      </c>
      <c r="E331" s="3">
        <v>45538</v>
      </c>
      <c r="F331" s="1">
        <v>159.6</v>
      </c>
      <c r="G331" s="4">
        <f t="shared" si="21"/>
        <v>6.1148584756982594E-3</v>
      </c>
      <c r="I331" s="3">
        <v>45538</v>
      </c>
      <c r="J331" s="1">
        <v>180.89</v>
      </c>
      <c r="K331" s="4">
        <f t="shared" si="22"/>
        <v>1.1456528837798796E-3</v>
      </c>
      <c r="M331" s="5">
        <v>45538</v>
      </c>
      <c r="N331" s="2">
        <v>25278.7</v>
      </c>
      <c r="O331" s="4">
        <f t="shared" si="23"/>
        <v>1.6959965763059248E-3</v>
      </c>
    </row>
    <row r="332" spans="1:15" x14ac:dyDescent="0.25">
      <c r="A332" s="3">
        <v>45537</v>
      </c>
      <c r="B332" s="1">
        <v>426.34</v>
      </c>
      <c r="C332" s="4">
        <f t="shared" si="20"/>
        <v>-1.2018188931552931E-3</v>
      </c>
      <c r="E332" s="3">
        <v>45537</v>
      </c>
      <c r="F332" s="1">
        <v>158.63</v>
      </c>
      <c r="G332" s="4">
        <f t="shared" si="21"/>
        <v>-1.3849543594586233E-3</v>
      </c>
      <c r="I332" s="3">
        <v>45537</v>
      </c>
      <c r="J332" s="1">
        <v>180.68299999999999</v>
      </c>
      <c r="K332" s="4">
        <f t="shared" si="22"/>
        <v>1.8267367838364912E-4</v>
      </c>
      <c r="M332" s="5">
        <v>45537</v>
      </c>
      <c r="N332" s="2">
        <v>25235.9</v>
      </c>
      <c r="O332" s="4">
        <f t="shared" si="23"/>
        <v>3.3377133780880808E-3</v>
      </c>
    </row>
    <row r="333" spans="1:15" x14ac:dyDescent="0.25">
      <c r="A333" s="3">
        <v>45534</v>
      </c>
      <c r="B333" s="1">
        <v>426.85300000000001</v>
      </c>
      <c r="C333" s="4">
        <f t="shared" si="20"/>
        <v>-1.0991735345704412E-2</v>
      </c>
      <c r="E333" s="3">
        <v>45534</v>
      </c>
      <c r="F333" s="1">
        <v>158.85</v>
      </c>
      <c r="G333" s="4">
        <f t="shared" si="21"/>
        <v>2.5244556642474159E-3</v>
      </c>
      <c r="I333" s="3">
        <v>45534</v>
      </c>
      <c r="J333" s="1">
        <v>180.65</v>
      </c>
      <c r="K333" s="4">
        <f t="shared" si="22"/>
        <v>7.641677822400661E-3</v>
      </c>
      <c r="M333" s="5">
        <v>45534</v>
      </c>
      <c r="N333" s="2">
        <v>25151.95</v>
      </c>
      <c r="O333" s="4">
        <f t="shared" si="23"/>
        <v>3.975674936682605E-3</v>
      </c>
    </row>
    <row r="334" spans="1:15" x14ac:dyDescent="0.25">
      <c r="A334" s="3">
        <v>45533</v>
      </c>
      <c r="B334" s="1">
        <v>431.59699999999998</v>
      </c>
      <c r="C334" s="4">
        <f t="shared" si="20"/>
        <v>7.9767561037247248E-4</v>
      </c>
      <c r="E334" s="3">
        <v>45533</v>
      </c>
      <c r="F334" s="1">
        <v>158.44999999999999</v>
      </c>
      <c r="G334" s="4">
        <f t="shared" si="21"/>
        <v>-3.3337526732922784E-3</v>
      </c>
      <c r="I334" s="3">
        <v>45533</v>
      </c>
      <c r="J334" s="1">
        <v>179.28</v>
      </c>
      <c r="K334" s="4">
        <f t="shared" si="22"/>
        <v>-1.2269801786923829E-4</v>
      </c>
      <c r="M334" s="5">
        <v>45533</v>
      </c>
      <c r="N334" s="2">
        <v>25052.35</v>
      </c>
      <c r="O334" s="4">
        <f t="shared" si="23"/>
        <v>1.3830180571794415E-3</v>
      </c>
    </row>
    <row r="335" spans="1:15" x14ac:dyDescent="0.25">
      <c r="A335" s="3">
        <v>45532</v>
      </c>
      <c r="B335" s="1">
        <v>431.25299999999999</v>
      </c>
      <c r="C335" s="4">
        <f t="shared" si="20"/>
        <v>-4.1721426038343612E-4</v>
      </c>
      <c r="E335" s="3">
        <v>45532</v>
      </c>
      <c r="F335" s="1">
        <v>158.97999999999999</v>
      </c>
      <c r="G335" s="4">
        <f t="shared" si="21"/>
        <v>6.1388519713942991E-3</v>
      </c>
      <c r="I335" s="3">
        <v>45532</v>
      </c>
      <c r="J335" s="1">
        <v>179.30199999999999</v>
      </c>
      <c r="K335" s="4">
        <f t="shared" si="22"/>
        <v>2.0790253171629747E-3</v>
      </c>
      <c r="M335" s="5">
        <v>45532</v>
      </c>
      <c r="N335" s="2">
        <v>25017.75</v>
      </c>
      <c r="O335" s="4">
        <f t="shared" si="23"/>
        <v>2.8587878739427808E-4</v>
      </c>
    </row>
    <row r="336" spans="1:15" x14ac:dyDescent="0.25">
      <c r="A336" s="3">
        <v>45531</v>
      </c>
      <c r="B336" s="1">
        <v>431.43299999999999</v>
      </c>
      <c r="C336" s="4">
        <f t="shared" si="20"/>
        <v>1.2286151421014857E-4</v>
      </c>
      <c r="E336" s="3">
        <v>45531</v>
      </c>
      <c r="F336" s="1">
        <v>158.01</v>
      </c>
      <c r="G336" s="4">
        <f t="shared" si="21"/>
        <v>-7.5886928476576188E-4</v>
      </c>
      <c r="I336" s="3">
        <v>45531</v>
      </c>
      <c r="J336" s="1">
        <v>178.93</v>
      </c>
      <c r="K336" s="4">
        <f t="shared" si="22"/>
        <v>3.2632830197141249E-3</v>
      </c>
      <c r="M336" s="5">
        <v>45531</v>
      </c>
      <c r="N336" s="2">
        <v>25010.6</v>
      </c>
      <c r="O336" s="4">
        <f t="shared" si="23"/>
        <v>7.5514187361394036E-3</v>
      </c>
    </row>
    <row r="337" spans="1:15" x14ac:dyDescent="0.25">
      <c r="A337" s="3">
        <v>45530</v>
      </c>
      <c r="B337" s="1">
        <v>431.38</v>
      </c>
      <c r="C337" s="4">
        <f t="shared" si="20"/>
        <v>-6.7875452020393912E-4</v>
      </c>
      <c r="E337" s="3">
        <v>45530</v>
      </c>
      <c r="F337" s="1">
        <v>158.13</v>
      </c>
      <c r="G337" s="4">
        <f t="shared" si="21"/>
        <v>2.2818026240729594E-3</v>
      </c>
      <c r="I337" s="3">
        <v>45530</v>
      </c>
      <c r="J337" s="1">
        <v>178.34800000000001</v>
      </c>
      <c r="K337" s="4">
        <f t="shared" si="22"/>
        <v>7.1151066136612151E-3</v>
      </c>
      <c r="M337" s="5">
        <v>45530</v>
      </c>
      <c r="N337" s="2">
        <v>24823.15</v>
      </c>
      <c r="O337" s="4">
        <f t="shared" si="23"/>
        <v>4.6954033411927831E-4</v>
      </c>
    </row>
    <row r="338" spans="1:15" x14ac:dyDescent="0.25">
      <c r="A338" s="3">
        <v>45527</v>
      </c>
      <c r="B338" s="1">
        <v>431.673</v>
      </c>
      <c r="C338" s="4">
        <f t="shared" si="20"/>
        <v>1.1582975805390916E-5</v>
      </c>
      <c r="E338" s="3">
        <v>45527</v>
      </c>
      <c r="F338" s="1">
        <v>157.77000000000001</v>
      </c>
      <c r="G338" s="4">
        <f t="shared" si="21"/>
        <v>4.5845272206304077E-3</v>
      </c>
      <c r="I338" s="3">
        <v>45527</v>
      </c>
      <c r="J338" s="1">
        <v>177.08799999999999</v>
      </c>
      <c r="K338" s="4">
        <f t="shared" si="22"/>
        <v>-5.1924596455588112E-4</v>
      </c>
      <c r="M338" s="5">
        <v>45527</v>
      </c>
      <c r="N338" s="2">
        <v>24811.5</v>
      </c>
      <c r="O338" s="4">
        <f t="shared" si="23"/>
        <v>1.6673260611541618E-3</v>
      </c>
    </row>
    <row r="339" spans="1:15" x14ac:dyDescent="0.25">
      <c r="A339" s="3">
        <v>45526</v>
      </c>
      <c r="B339" s="1">
        <v>431.66800000000001</v>
      </c>
      <c r="C339" s="4">
        <f t="shared" si="20"/>
        <v>4.6828160202581071E-3</v>
      </c>
      <c r="E339" s="3">
        <v>45526</v>
      </c>
      <c r="F339" s="1">
        <v>157.05000000000001</v>
      </c>
      <c r="G339" s="4">
        <f t="shared" si="21"/>
        <v>5.8925254595529886E-3</v>
      </c>
      <c r="I339" s="3">
        <v>45526</v>
      </c>
      <c r="J339" s="1">
        <v>177.18</v>
      </c>
      <c r="K339" s="4">
        <f t="shared" si="22"/>
        <v>4.3819122823924861E-3</v>
      </c>
      <c r="M339" s="5">
        <v>45526</v>
      </c>
      <c r="N339" s="2">
        <v>24770.2</v>
      </c>
      <c r="O339" s="4">
        <f t="shared" si="23"/>
        <v>2.888798466325504E-3</v>
      </c>
    </row>
    <row r="340" spans="1:15" x14ac:dyDescent="0.25">
      <c r="A340" s="3">
        <v>45525</v>
      </c>
      <c r="B340" s="1">
        <v>429.65600000000001</v>
      </c>
      <c r="C340" s="4">
        <f t="shared" si="20"/>
        <v>3.3759321647175433E-4</v>
      </c>
      <c r="E340" s="3">
        <v>45525</v>
      </c>
      <c r="F340" s="1">
        <v>156.13</v>
      </c>
      <c r="G340" s="4">
        <f t="shared" si="21"/>
        <v>2.0537834542069255E-3</v>
      </c>
      <c r="I340" s="3">
        <v>45525</v>
      </c>
      <c r="J340" s="1">
        <v>176.40700000000001</v>
      </c>
      <c r="K340" s="4">
        <f t="shared" si="22"/>
        <v>4.7043814535743245E-3</v>
      </c>
      <c r="M340" s="5">
        <v>45525</v>
      </c>
      <c r="N340" s="2">
        <v>24698.85</v>
      </c>
      <c r="O340" s="4">
        <f t="shared" si="23"/>
        <v>5.1357912150296059E-3</v>
      </c>
    </row>
    <row r="341" spans="1:15" x14ac:dyDescent="0.25">
      <c r="A341" s="3">
        <v>45524</v>
      </c>
      <c r="B341" s="1">
        <v>429.51100000000002</v>
      </c>
      <c r="C341" s="4">
        <f t="shared" si="20"/>
        <v>-5.9567160810380937E-4</v>
      </c>
      <c r="E341" s="3">
        <v>45524</v>
      </c>
      <c r="F341" s="1">
        <v>155.81</v>
      </c>
      <c r="G341" s="4">
        <f t="shared" si="21"/>
        <v>5.096116630112224E-3</v>
      </c>
      <c r="I341" s="3">
        <v>45524</v>
      </c>
      <c r="J341" s="1">
        <v>175.58099999999999</v>
      </c>
      <c r="K341" s="4">
        <f t="shared" si="22"/>
        <v>4.6691271135526069E-3</v>
      </c>
      <c r="M341" s="5">
        <v>45524</v>
      </c>
      <c r="N341" s="2">
        <v>24572.65</v>
      </c>
      <c r="O341" s="4">
        <f t="shared" si="23"/>
        <v>1.283558431450782E-3</v>
      </c>
    </row>
    <row r="342" spans="1:15" x14ac:dyDescent="0.25">
      <c r="A342" s="3">
        <v>45523</v>
      </c>
      <c r="B342" s="1">
        <v>429.767</v>
      </c>
      <c r="C342" s="4">
        <f t="shared" si="20"/>
        <v>4.008868102165497E-3</v>
      </c>
      <c r="E342" s="3">
        <v>45523</v>
      </c>
      <c r="F342" s="1">
        <v>155.02000000000001</v>
      </c>
      <c r="G342" s="4">
        <f t="shared" si="21"/>
        <v>6.4273193533728179E-3</v>
      </c>
      <c r="I342" s="3">
        <v>45523</v>
      </c>
      <c r="J342" s="1">
        <v>174.76499999999999</v>
      </c>
      <c r="K342" s="4">
        <f t="shared" si="22"/>
        <v>3.3355532081016381E-3</v>
      </c>
      <c r="M342" s="5">
        <v>45523</v>
      </c>
      <c r="N342" s="2">
        <v>24541.15</v>
      </c>
      <c r="O342" s="4">
        <f t="shared" si="23"/>
        <v>1.6459746311157097E-2</v>
      </c>
    </row>
    <row r="343" spans="1:15" x14ac:dyDescent="0.25">
      <c r="A343" s="3">
        <v>45520</v>
      </c>
      <c r="B343" s="1">
        <v>428.05099999999999</v>
      </c>
      <c r="C343" s="4">
        <f t="shared" si="20"/>
        <v>4.317110539145963E-3</v>
      </c>
      <c r="E343" s="3">
        <v>45520</v>
      </c>
      <c r="F343" s="1">
        <v>154.03</v>
      </c>
      <c r="G343" s="4">
        <f t="shared" si="21"/>
        <v>6.403136229990114E-3</v>
      </c>
      <c r="I343" s="3">
        <v>45520</v>
      </c>
      <c r="J343" s="1">
        <v>174.184</v>
      </c>
      <c r="K343" s="4">
        <f t="shared" si="22"/>
        <v>1.7971000940920634E-2</v>
      </c>
      <c r="M343" s="5">
        <v>45520</v>
      </c>
      <c r="N343" s="2">
        <v>24143.75</v>
      </c>
      <c r="O343" s="4">
        <f t="shared" si="23"/>
        <v>1.9677699987563635E-4</v>
      </c>
    </row>
    <row r="344" spans="1:15" x14ac:dyDescent="0.25">
      <c r="A344" s="3">
        <v>45518</v>
      </c>
      <c r="B344" s="1">
        <v>426.21100000000001</v>
      </c>
      <c r="C344" s="4">
        <f t="shared" si="20"/>
        <v>-3.1038176723472422E-3</v>
      </c>
      <c r="E344" s="3">
        <v>45518</v>
      </c>
      <c r="F344" s="1">
        <v>153.05000000000001</v>
      </c>
      <c r="G344" s="4">
        <f t="shared" si="21"/>
        <v>-1.1747046922925275E-3</v>
      </c>
      <c r="I344" s="3">
        <v>45518</v>
      </c>
      <c r="J344" s="1">
        <v>171.10900000000001</v>
      </c>
      <c r="K344" s="4">
        <f t="shared" si="22"/>
        <v>-3.5349064734794267E-3</v>
      </c>
      <c r="M344" s="5">
        <v>45518</v>
      </c>
      <c r="N344" s="2">
        <v>24139</v>
      </c>
      <c r="O344" s="4">
        <f t="shared" si="23"/>
        <v>-8.5431469996303244E-3</v>
      </c>
    </row>
    <row r="345" spans="1:15" x14ac:dyDescent="0.25">
      <c r="A345" s="3">
        <v>45517</v>
      </c>
      <c r="B345" s="1">
        <v>427.53800000000001</v>
      </c>
      <c r="C345" s="4">
        <f t="shared" si="20"/>
        <v>1.2552634413889319E-3</v>
      </c>
      <c r="E345" s="3">
        <v>45517</v>
      </c>
      <c r="F345" s="1">
        <v>153.22999999999999</v>
      </c>
      <c r="G345" s="4">
        <f t="shared" si="21"/>
        <v>1.6855796668657552E-2</v>
      </c>
      <c r="I345" s="3">
        <v>45517</v>
      </c>
      <c r="J345" s="1">
        <v>171.71600000000001</v>
      </c>
      <c r="K345" s="4">
        <f t="shared" si="22"/>
        <v>-7.0775991673411864E-3</v>
      </c>
      <c r="M345" s="5">
        <v>45517</v>
      </c>
      <c r="N345" s="2">
        <v>24347</v>
      </c>
      <c r="O345" s="4">
        <f t="shared" si="23"/>
        <v>-8.4128449779419245E-4</v>
      </c>
    </row>
    <row r="346" spans="1:15" x14ac:dyDescent="0.25">
      <c r="A346" s="3">
        <v>45516</v>
      </c>
      <c r="B346" s="1">
        <v>427.00200000000001</v>
      </c>
      <c r="C346" s="4">
        <f t="shared" si="20"/>
        <v>3.1763185715965037E-3</v>
      </c>
      <c r="E346" s="3">
        <v>45516</v>
      </c>
      <c r="F346" s="1">
        <v>150.69</v>
      </c>
      <c r="G346" s="4">
        <f t="shared" si="21"/>
        <v>-8.6195464792460097E-4</v>
      </c>
      <c r="I346" s="3">
        <v>45516</v>
      </c>
      <c r="J346" s="1">
        <v>172.94</v>
      </c>
      <c r="K346" s="4">
        <f t="shared" si="22"/>
        <v>-2.1968111551762259E-4</v>
      </c>
      <c r="M346" s="5">
        <v>45516</v>
      </c>
      <c r="N346" s="2">
        <v>24367.5</v>
      </c>
      <c r="O346" s="4">
        <f t="shared" si="23"/>
        <v>1.0386864037815746E-2</v>
      </c>
    </row>
    <row r="347" spans="1:15" x14ac:dyDescent="0.25">
      <c r="A347" s="3">
        <v>45513</v>
      </c>
      <c r="B347" s="1">
        <v>425.65</v>
      </c>
      <c r="C347" s="4">
        <f t="shared" si="20"/>
        <v>4.8370990625612453E-3</v>
      </c>
      <c r="E347" s="3">
        <v>45513</v>
      </c>
      <c r="F347" s="1">
        <v>150.82</v>
      </c>
      <c r="G347" s="4">
        <f t="shared" si="21"/>
        <v>-9.3924466338259904E-3</v>
      </c>
      <c r="I347" s="3">
        <v>45513</v>
      </c>
      <c r="J347" s="1">
        <v>172.97800000000001</v>
      </c>
      <c r="K347" s="4">
        <f t="shared" si="22"/>
        <v>9.6601156879112526E-3</v>
      </c>
      <c r="M347" s="5">
        <v>45513</v>
      </c>
      <c r="N347" s="2">
        <v>24117</v>
      </c>
      <c r="O347" s="4">
        <f t="shared" si="23"/>
        <v>-7.4287478135610652E-3</v>
      </c>
    </row>
    <row r="348" spans="1:15" x14ac:dyDescent="0.25">
      <c r="A348" s="3">
        <v>45512</v>
      </c>
      <c r="B348" s="1">
        <v>423.601</v>
      </c>
      <c r="C348" s="4">
        <f t="shared" si="20"/>
        <v>4.8820642259508329E-3</v>
      </c>
      <c r="E348" s="3">
        <v>45512</v>
      </c>
      <c r="F348" s="1">
        <v>152.25</v>
      </c>
      <c r="G348" s="4">
        <f t="shared" si="21"/>
        <v>2.898359791845051E-3</v>
      </c>
      <c r="I348" s="3">
        <v>45512</v>
      </c>
      <c r="J348" s="1">
        <v>171.32300000000001</v>
      </c>
      <c r="K348" s="4">
        <f t="shared" si="22"/>
        <v>-6.9958847736625307E-3</v>
      </c>
      <c r="M348" s="5">
        <v>45512</v>
      </c>
      <c r="N348" s="2">
        <v>24297.5</v>
      </c>
      <c r="O348" s="4">
        <f t="shared" si="23"/>
        <v>1.2710195456506312E-2</v>
      </c>
    </row>
    <row r="349" spans="1:15" x14ac:dyDescent="0.25">
      <c r="A349" s="3">
        <v>45511</v>
      </c>
      <c r="B349" s="1">
        <v>421.54300000000001</v>
      </c>
      <c r="C349" s="4">
        <f t="shared" si="20"/>
        <v>1.5974356193437123E-2</v>
      </c>
      <c r="E349" s="3">
        <v>45511</v>
      </c>
      <c r="F349" s="1">
        <v>151.81</v>
      </c>
      <c r="G349" s="4">
        <f t="shared" si="21"/>
        <v>1.1122951911549217E-2</v>
      </c>
      <c r="I349" s="3">
        <v>45511</v>
      </c>
      <c r="J349" s="1">
        <v>172.53</v>
      </c>
      <c r="K349" s="4">
        <f t="shared" si="22"/>
        <v>1.8188470799301193E-2</v>
      </c>
      <c r="M349" s="5">
        <v>45511</v>
      </c>
      <c r="N349" s="2">
        <v>23992.55</v>
      </c>
      <c r="O349" s="4">
        <f t="shared" si="23"/>
        <v>-2.6210113237665755E-3</v>
      </c>
    </row>
    <row r="350" spans="1:15" x14ac:dyDescent="0.25">
      <c r="A350" s="3">
        <v>45510</v>
      </c>
      <c r="B350" s="1">
        <v>414.91500000000002</v>
      </c>
      <c r="C350" s="4">
        <f t="shared" si="20"/>
        <v>-2.2292120565021722E-3</v>
      </c>
      <c r="E350" s="3">
        <v>45510</v>
      </c>
      <c r="F350" s="1">
        <v>150.13999999999999</v>
      </c>
      <c r="G350" s="4">
        <f t="shared" si="21"/>
        <v>-6.3534083388484541E-3</v>
      </c>
      <c r="I350" s="3">
        <v>45510</v>
      </c>
      <c r="J350" s="1">
        <v>169.44800000000001</v>
      </c>
      <c r="K350" s="4">
        <f t="shared" si="22"/>
        <v>-5.7093902746726544E-3</v>
      </c>
      <c r="M350" s="5">
        <v>45510</v>
      </c>
      <c r="N350" s="2">
        <v>24055.599999999999</v>
      </c>
      <c r="O350" s="4">
        <f t="shared" si="23"/>
        <v>-2.6786472851438536E-2</v>
      </c>
    </row>
    <row r="351" spans="1:15" x14ac:dyDescent="0.25">
      <c r="A351" s="3">
        <v>45509</v>
      </c>
      <c r="B351" s="1">
        <v>415.84199999999998</v>
      </c>
      <c r="C351" s="4">
        <f t="shared" si="20"/>
        <v>-1.1077288941736096E-2</v>
      </c>
      <c r="E351" s="3">
        <v>45509</v>
      </c>
      <c r="F351" s="1">
        <v>151.1</v>
      </c>
      <c r="G351" s="4">
        <f t="shared" si="21"/>
        <v>2.0876967772447852E-2</v>
      </c>
      <c r="I351" s="3">
        <v>45509</v>
      </c>
      <c r="J351" s="1">
        <v>170.42099999999999</v>
      </c>
      <c r="K351" s="4">
        <f t="shared" si="22"/>
        <v>-3.1335614491798114E-2</v>
      </c>
      <c r="M351" s="5">
        <v>45509</v>
      </c>
      <c r="N351" s="2">
        <v>24717.7</v>
      </c>
      <c r="O351" s="4">
        <f t="shared" si="23"/>
        <v>-1.1722888820474342E-2</v>
      </c>
    </row>
    <row r="352" spans="1:15" x14ac:dyDescent="0.25">
      <c r="A352" s="3">
        <v>45506</v>
      </c>
      <c r="B352" s="1">
        <v>420.5</v>
      </c>
      <c r="C352" s="4">
        <f t="shared" si="20"/>
        <v>3.6805598651892257E-3</v>
      </c>
      <c r="E352" s="3">
        <v>45506</v>
      </c>
      <c r="F352" s="1">
        <v>148.01</v>
      </c>
      <c r="G352" s="4">
        <f t="shared" si="21"/>
        <v>-5.9104036537040994E-3</v>
      </c>
      <c r="I352" s="3">
        <v>45506</v>
      </c>
      <c r="J352" s="1">
        <v>175.934</v>
      </c>
      <c r="K352" s="4">
        <f t="shared" si="22"/>
        <v>-1.186210305202029E-2</v>
      </c>
      <c r="M352" s="5">
        <v>45506</v>
      </c>
      <c r="N352" s="2">
        <v>25010.9</v>
      </c>
      <c r="O352" s="4">
        <f t="shared" si="23"/>
        <v>2.3946792031630526E-3</v>
      </c>
    </row>
    <row r="353" spans="1:15" x14ac:dyDescent="0.25">
      <c r="A353" s="3">
        <v>45505</v>
      </c>
      <c r="B353" s="1">
        <v>418.95800000000003</v>
      </c>
      <c r="C353" s="4">
        <f t="shared" si="20"/>
        <v>8.4050199053593566E-3</v>
      </c>
      <c r="E353" s="3">
        <v>45505</v>
      </c>
      <c r="F353" s="1">
        <v>148.88999999999999</v>
      </c>
      <c r="G353" s="4">
        <f t="shared" si="21"/>
        <v>-2.8767123287671392E-2</v>
      </c>
      <c r="I353" s="3">
        <v>45505</v>
      </c>
      <c r="J353" s="1">
        <v>178.04599999999999</v>
      </c>
      <c r="K353" s="4">
        <f t="shared" si="22"/>
        <v>-6.6792018634409533E-4</v>
      </c>
      <c r="M353" s="5">
        <v>45505</v>
      </c>
      <c r="N353" s="2">
        <v>24951.15</v>
      </c>
      <c r="O353" s="4">
        <f t="shared" si="23"/>
        <v>3.7755508442189889E-3</v>
      </c>
    </row>
    <row r="354" spans="1:15" x14ac:dyDescent="0.25">
      <c r="A354" s="3">
        <v>45504</v>
      </c>
      <c r="B354" s="1">
        <v>415.46600000000001</v>
      </c>
      <c r="C354" s="4">
        <f t="shared" si="20"/>
        <v>-5.5054743564579844E-3</v>
      </c>
      <c r="E354" s="3">
        <v>45504</v>
      </c>
      <c r="F354" s="1">
        <v>153.30000000000001</v>
      </c>
      <c r="G354" s="4">
        <f t="shared" si="21"/>
        <v>-7.4457753318224462E-3</v>
      </c>
      <c r="I354" s="3">
        <v>45504</v>
      </c>
      <c r="J354" s="1">
        <v>178.16499999999999</v>
      </c>
      <c r="K354" s="4">
        <f t="shared" si="22"/>
        <v>5.5139174210443453E-3</v>
      </c>
      <c r="M354" s="5">
        <v>45504</v>
      </c>
      <c r="N354" s="2">
        <v>24857.3</v>
      </c>
      <c r="O354" s="4">
        <f t="shared" si="23"/>
        <v>8.5359617653346653E-4</v>
      </c>
    </row>
    <row r="355" spans="1:15" x14ac:dyDescent="0.25">
      <c r="A355" s="3">
        <v>45503</v>
      </c>
      <c r="B355" s="1">
        <v>417.76600000000002</v>
      </c>
      <c r="C355" s="4">
        <f t="shared" si="20"/>
        <v>1.6363370961463675E-2</v>
      </c>
      <c r="E355" s="3">
        <v>45503</v>
      </c>
      <c r="F355" s="1">
        <v>154.44999999999999</v>
      </c>
      <c r="G355" s="4">
        <f t="shared" si="21"/>
        <v>-2.1320584054788094E-3</v>
      </c>
      <c r="I355" s="3">
        <v>45503</v>
      </c>
      <c r="J355" s="1">
        <v>177.18799999999999</v>
      </c>
      <c r="K355" s="4">
        <f t="shared" si="22"/>
        <v>4.2345847001623582E-4</v>
      </c>
      <c r="M355" s="5">
        <v>45503</v>
      </c>
      <c r="N355" s="2">
        <v>24836.1</v>
      </c>
      <c r="O355" s="4">
        <f t="shared" si="23"/>
        <v>5.0332496471794386E-5</v>
      </c>
    </row>
    <row r="356" spans="1:15" x14ac:dyDescent="0.25">
      <c r="A356" s="3">
        <v>45502</v>
      </c>
      <c r="B356" s="1">
        <v>411.04</v>
      </c>
      <c r="C356" s="4">
        <f t="shared" si="20"/>
        <v>-1.5861333566515867E-3</v>
      </c>
      <c r="E356" s="3">
        <v>45502</v>
      </c>
      <c r="F356" s="1">
        <v>154.78</v>
      </c>
      <c r="G356" s="4">
        <f t="shared" si="21"/>
        <v>4.4779025244987558E-3</v>
      </c>
      <c r="I356" s="3">
        <v>45502</v>
      </c>
      <c r="J356" s="1">
        <v>177.113</v>
      </c>
      <c r="K356" s="4">
        <f t="shared" si="22"/>
        <v>2.5415477969479294E-3</v>
      </c>
      <c r="M356" s="5">
        <v>45502</v>
      </c>
      <c r="N356" s="2">
        <v>24834.85</v>
      </c>
      <c r="O356" s="4">
        <f t="shared" si="23"/>
        <v>1.7567329479105664E-2</v>
      </c>
    </row>
    <row r="357" spans="1:15" x14ac:dyDescent="0.25">
      <c r="A357" s="3">
        <v>45499</v>
      </c>
      <c r="B357" s="1">
        <v>411.69299999999998</v>
      </c>
      <c r="C357" s="4">
        <f t="shared" si="20"/>
        <v>-2.7514462336508894E-2</v>
      </c>
      <c r="E357" s="3">
        <v>45499</v>
      </c>
      <c r="F357" s="1">
        <v>154.09</v>
      </c>
      <c r="G357" s="4">
        <f t="shared" si="21"/>
        <v>4.6290259486243546E-3</v>
      </c>
      <c r="I357" s="3">
        <v>45499</v>
      </c>
      <c r="J357" s="1">
        <v>176.66399999999999</v>
      </c>
      <c r="K357" s="4">
        <f t="shared" si="22"/>
        <v>1.6467014188559448E-2</v>
      </c>
      <c r="M357" s="5">
        <v>45499</v>
      </c>
      <c r="N357" s="2">
        <v>24406.1</v>
      </c>
      <c r="O357" s="4">
        <f t="shared" si="23"/>
        <v>-3.0311098367707956E-4</v>
      </c>
    </row>
    <row r="358" spans="1:15" x14ac:dyDescent="0.25">
      <c r="A358" s="3">
        <v>45498</v>
      </c>
      <c r="B358" s="1">
        <v>423.34100000000001</v>
      </c>
      <c r="C358" s="4">
        <f t="shared" si="20"/>
        <v>-9.5085457587065214E-3</v>
      </c>
      <c r="E358" s="3">
        <v>45498</v>
      </c>
      <c r="F358" s="1">
        <v>153.38</v>
      </c>
      <c r="G358" s="4">
        <f t="shared" si="21"/>
        <v>5.5726742280206576E-3</v>
      </c>
      <c r="I358" s="3">
        <v>45498</v>
      </c>
      <c r="J358" s="1">
        <v>173.80199999999999</v>
      </c>
      <c r="K358" s="4">
        <f t="shared" si="22"/>
        <v>1.3481747787609244E-3</v>
      </c>
      <c r="M358" s="5">
        <v>45498</v>
      </c>
      <c r="N358" s="2">
        <v>24413.5</v>
      </c>
      <c r="O358" s="4">
        <f t="shared" si="23"/>
        <v>-2.6777999963233379E-3</v>
      </c>
    </row>
    <row r="359" spans="1:15" x14ac:dyDescent="0.25">
      <c r="A359" s="3">
        <v>45497</v>
      </c>
      <c r="B359" s="1">
        <v>427.40499999999997</v>
      </c>
      <c r="C359" s="4">
        <f t="shared" si="20"/>
        <v>-9.2799940159238314E-4</v>
      </c>
      <c r="E359" s="3">
        <v>45497</v>
      </c>
      <c r="F359" s="1">
        <v>152.53</v>
      </c>
      <c r="G359" s="4">
        <f t="shared" si="21"/>
        <v>1.5783164624400658E-2</v>
      </c>
      <c r="I359" s="3">
        <v>45497</v>
      </c>
      <c r="J359" s="1">
        <v>173.56800000000001</v>
      </c>
      <c r="K359" s="4">
        <f t="shared" si="22"/>
        <v>3.5384722125859636E-3</v>
      </c>
      <c r="M359" s="5">
        <v>45497</v>
      </c>
      <c r="N359" s="2">
        <v>24479.05</v>
      </c>
      <c r="O359" s="4">
        <f t="shared" si="23"/>
        <v>-1.2321878474453873E-3</v>
      </c>
    </row>
    <row r="360" spans="1:15" x14ac:dyDescent="0.25">
      <c r="A360" s="3">
        <v>45496</v>
      </c>
      <c r="B360" s="1">
        <v>427.80200000000002</v>
      </c>
      <c r="C360" s="4">
        <f t="shared" si="20"/>
        <v>5.0298242028281592E-3</v>
      </c>
      <c r="E360" s="3">
        <v>45496</v>
      </c>
      <c r="F360" s="1">
        <v>150.16</v>
      </c>
      <c r="G360" s="4">
        <f t="shared" si="21"/>
        <v>-1.5957446808511078E-3</v>
      </c>
      <c r="I360" s="3">
        <v>45496</v>
      </c>
      <c r="J360" s="1">
        <v>172.95599999999999</v>
      </c>
      <c r="K360" s="4">
        <f t="shared" si="22"/>
        <v>-3.6293249455602306E-3</v>
      </c>
      <c r="M360" s="5">
        <v>45496</v>
      </c>
      <c r="N360" s="2">
        <v>24509.25</v>
      </c>
      <c r="O360" s="4">
        <f t="shared" si="23"/>
        <v>-8.8256036264466875E-4</v>
      </c>
    </row>
    <row r="361" spans="1:15" x14ac:dyDescent="0.25">
      <c r="A361" s="3">
        <v>45495</v>
      </c>
      <c r="B361" s="1">
        <v>425.661</v>
      </c>
      <c r="C361" s="4">
        <f t="shared" si="20"/>
        <v>2.6617608608088261E-3</v>
      </c>
      <c r="E361" s="3">
        <v>45495</v>
      </c>
      <c r="F361" s="1">
        <v>150.4</v>
      </c>
      <c r="G361" s="4">
        <f t="shared" si="21"/>
        <v>7.3002478065768983E-3</v>
      </c>
      <c r="I361" s="3">
        <v>45495</v>
      </c>
      <c r="J361" s="1">
        <v>173.58600000000001</v>
      </c>
      <c r="K361" s="4">
        <f t="shared" si="22"/>
        <v>4.3509957531504551E-3</v>
      </c>
      <c r="M361" s="5">
        <v>45495</v>
      </c>
      <c r="N361" s="2">
        <v>24530.9</v>
      </c>
      <c r="O361" s="4">
        <f t="shared" si="23"/>
        <v>-1.0884707580586794E-2</v>
      </c>
    </row>
    <row r="362" spans="1:15" x14ac:dyDescent="0.25">
      <c r="A362" s="3">
        <v>45492</v>
      </c>
      <c r="B362" s="1">
        <v>424.53100000000001</v>
      </c>
      <c r="C362" s="4">
        <f t="shared" si="20"/>
        <v>3.7760028751530061E-3</v>
      </c>
      <c r="E362" s="3">
        <v>45492</v>
      </c>
      <c r="F362" s="1">
        <v>149.31</v>
      </c>
      <c r="G362" s="4">
        <f t="shared" si="21"/>
        <v>-2.0719155193156258E-3</v>
      </c>
      <c r="I362" s="3">
        <v>45492</v>
      </c>
      <c r="J362" s="1">
        <v>172.834</v>
      </c>
      <c r="K362" s="4">
        <f t="shared" si="22"/>
        <v>-1.602067771907445E-2</v>
      </c>
      <c r="M362" s="5">
        <v>45492</v>
      </c>
      <c r="N362" s="2">
        <v>24800.85</v>
      </c>
      <c r="O362" s="4">
        <f t="shared" si="23"/>
        <v>7.6321456141064115E-3</v>
      </c>
    </row>
    <row r="363" spans="1:15" x14ac:dyDescent="0.25">
      <c r="A363" s="3">
        <v>45491</v>
      </c>
      <c r="B363" s="1">
        <v>422.93400000000003</v>
      </c>
      <c r="C363" s="4">
        <f t="shared" si="20"/>
        <v>1.2680838429453445E-2</v>
      </c>
      <c r="E363" s="3">
        <v>45491</v>
      </c>
      <c r="F363" s="1">
        <v>149.62</v>
      </c>
      <c r="G363" s="4">
        <f t="shared" si="21"/>
        <v>9.173074328881814E-3</v>
      </c>
      <c r="I363" s="3">
        <v>45491</v>
      </c>
      <c r="J363" s="1">
        <v>175.648</v>
      </c>
      <c r="K363" s="4">
        <f t="shared" si="22"/>
        <v>8.1479160137898354E-4</v>
      </c>
      <c r="M363" s="5">
        <v>45491</v>
      </c>
      <c r="N363" s="2">
        <v>24613</v>
      </c>
      <c r="O363" s="4">
        <f t="shared" si="23"/>
        <v>1.0696840161550369E-3</v>
      </c>
    </row>
    <row r="364" spans="1:15" x14ac:dyDescent="0.25">
      <c r="A364" s="3">
        <v>45489</v>
      </c>
      <c r="B364" s="1">
        <v>417.63799999999998</v>
      </c>
      <c r="C364" s="4">
        <f t="shared" si="20"/>
        <v>3.5298160122450017E-3</v>
      </c>
      <c r="E364" s="3">
        <v>45489</v>
      </c>
      <c r="F364" s="1">
        <v>148.26</v>
      </c>
      <c r="G364" s="4">
        <f t="shared" si="21"/>
        <v>-1.3047530288909703E-2</v>
      </c>
      <c r="I364" s="3">
        <v>45489</v>
      </c>
      <c r="J364" s="1">
        <v>175.505</v>
      </c>
      <c r="K364" s="4">
        <f t="shared" si="22"/>
        <v>-2.6772694130516861E-4</v>
      </c>
      <c r="M364" s="5">
        <v>45489</v>
      </c>
      <c r="N364" s="2">
        <v>24586.7</v>
      </c>
      <c r="O364" s="4">
        <f t="shared" si="23"/>
        <v>3.4507175900890807E-3</v>
      </c>
    </row>
    <row r="365" spans="1:15" x14ac:dyDescent="0.25">
      <c r="A365" s="3">
        <v>45488</v>
      </c>
      <c r="B365" s="1">
        <v>416.16899999999998</v>
      </c>
      <c r="C365" s="4">
        <f t="shared" si="20"/>
        <v>5.3969826180437774E-3</v>
      </c>
      <c r="E365" s="3">
        <v>45488</v>
      </c>
      <c r="F365" s="1">
        <v>150.22</v>
      </c>
      <c r="G365" s="4">
        <f t="shared" si="21"/>
        <v>9.3283582089553896E-4</v>
      </c>
      <c r="I365" s="3">
        <v>45488</v>
      </c>
      <c r="J365" s="1">
        <v>175.55199999999999</v>
      </c>
      <c r="K365" s="4">
        <f t="shared" si="22"/>
        <v>8.4616754462054633E-3</v>
      </c>
      <c r="M365" s="5">
        <v>45488</v>
      </c>
      <c r="N365" s="2">
        <v>24502.15</v>
      </c>
      <c r="O365" s="4">
        <f t="shared" si="23"/>
        <v>7.6575252046495734E-3</v>
      </c>
    </row>
    <row r="366" spans="1:15" x14ac:dyDescent="0.25">
      <c r="A366" s="3">
        <v>45485</v>
      </c>
      <c r="B366" s="1">
        <v>413.935</v>
      </c>
      <c r="C366" s="4">
        <f t="shared" si="20"/>
        <v>-1.8471139447457929E-3</v>
      </c>
      <c r="E366" s="3">
        <v>45485</v>
      </c>
      <c r="F366" s="1">
        <v>150.08000000000001</v>
      </c>
      <c r="G366" s="4">
        <f t="shared" si="21"/>
        <v>1.4012143858010973E-3</v>
      </c>
      <c r="I366" s="3">
        <v>45485</v>
      </c>
      <c r="J366" s="1">
        <v>174.07900000000001</v>
      </c>
      <c r="K366" s="4">
        <f t="shared" si="22"/>
        <v>1.4093905680132579E-3</v>
      </c>
      <c r="M366" s="5">
        <v>45485</v>
      </c>
      <c r="N366" s="2">
        <v>24315.95</v>
      </c>
      <c r="O366" s="4">
        <f t="shared" si="23"/>
        <v>-3.4944263899083783E-4</v>
      </c>
    </row>
    <row r="367" spans="1:15" x14ac:dyDescent="0.25">
      <c r="A367" s="3">
        <v>45484</v>
      </c>
      <c r="B367" s="1">
        <v>414.70100000000002</v>
      </c>
      <c r="C367" s="4">
        <f t="shared" si="20"/>
        <v>3.6253366989107416E-3</v>
      </c>
      <c r="E367" s="3">
        <v>45484</v>
      </c>
      <c r="F367" s="1">
        <v>149.87</v>
      </c>
      <c r="G367" s="4">
        <f t="shared" si="21"/>
        <v>5.7039323580727608E-3</v>
      </c>
      <c r="I367" s="3">
        <v>45484</v>
      </c>
      <c r="J367" s="1">
        <v>173.834</v>
      </c>
      <c r="K367" s="4">
        <f t="shared" si="22"/>
        <v>6.447082119707126E-4</v>
      </c>
      <c r="M367" s="5">
        <v>45484</v>
      </c>
      <c r="N367" s="2">
        <v>24324.45</v>
      </c>
      <c r="O367" s="4">
        <f t="shared" si="23"/>
        <v>-4.4509110554491471E-3</v>
      </c>
    </row>
    <row r="368" spans="1:15" x14ac:dyDescent="0.25">
      <c r="A368" s="3">
        <v>45483</v>
      </c>
      <c r="B368" s="1">
        <v>413.20299999999997</v>
      </c>
      <c r="C368" s="4">
        <f t="shared" si="20"/>
        <v>-1.6148195768896589E-2</v>
      </c>
      <c r="E368" s="3">
        <v>45483</v>
      </c>
      <c r="F368" s="1">
        <v>149.02000000000001</v>
      </c>
      <c r="G368" s="4">
        <f t="shared" si="21"/>
        <v>3.2989968356562649E-3</v>
      </c>
      <c r="I368" s="3">
        <v>45483</v>
      </c>
      <c r="J368" s="1">
        <v>173.72200000000001</v>
      </c>
      <c r="K368" s="4">
        <f t="shared" si="22"/>
        <v>-7.5351014937907745E-4</v>
      </c>
      <c r="M368" s="5">
        <v>45483</v>
      </c>
      <c r="N368" s="2">
        <v>24433.200000000001</v>
      </c>
      <c r="O368" s="4">
        <f t="shared" si="23"/>
        <v>4.6318853808815508E-3</v>
      </c>
    </row>
    <row r="369" spans="1:15" x14ac:dyDescent="0.25">
      <c r="A369" s="3">
        <v>45482</v>
      </c>
      <c r="B369" s="1">
        <v>419.98500000000001</v>
      </c>
      <c r="C369" s="4">
        <f t="shared" si="20"/>
        <v>-3.1181864056584185E-4</v>
      </c>
      <c r="E369" s="3">
        <v>45482</v>
      </c>
      <c r="F369" s="1">
        <v>148.53</v>
      </c>
      <c r="G369" s="4">
        <f t="shared" si="21"/>
        <v>1.753557698792596E-3</v>
      </c>
      <c r="I369" s="3">
        <v>45482</v>
      </c>
      <c r="J369" s="1">
        <v>173.85300000000001</v>
      </c>
      <c r="K369" s="4">
        <f t="shared" si="22"/>
        <v>3.5094807930964311E-3</v>
      </c>
      <c r="M369" s="5">
        <v>45482</v>
      </c>
      <c r="N369" s="2">
        <v>24320.55</v>
      </c>
      <c r="O369" s="4">
        <f t="shared" si="23"/>
        <v>-1.3566931221820067E-4</v>
      </c>
    </row>
    <row r="370" spans="1:15" x14ac:dyDescent="0.25">
      <c r="A370" s="3">
        <v>45481</v>
      </c>
      <c r="B370" s="1">
        <v>420.11599999999999</v>
      </c>
      <c r="C370" s="4">
        <f t="shared" si="20"/>
        <v>2.7424594299789717E-3</v>
      </c>
      <c r="E370" s="3">
        <v>45481</v>
      </c>
      <c r="F370" s="1">
        <v>148.27000000000001</v>
      </c>
      <c r="G370" s="4">
        <f t="shared" si="21"/>
        <v>-2.8917283120375448E-3</v>
      </c>
      <c r="I370" s="3">
        <v>45481</v>
      </c>
      <c r="J370" s="1">
        <v>173.245</v>
      </c>
      <c r="K370" s="4">
        <f t="shared" si="22"/>
        <v>-1.0724726260011863E-3</v>
      </c>
      <c r="M370" s="5">
        <v>45481</v>
      </c>
      <c r="N370" s="2">
        <v>24323.85</v>
      </c>
      <c r="O370" s="4">
        <f t="shared" si="23"/>
        <v>8.9292511156413568E-4</v>
      </c>
    </row>
    <row r="371" spans="1:15" x14ac:dyDescent="0.25">
      <c r="A371" s="3">
        <v>45478</v>
      </c>
      <c r="B371" s="1">
        <v>418.96699999999998</v>
      </c>
      <c r="C371" s="4">
        <f t="shared" si="20"/>
        <v>6.6288970899164301E-3</v>
      </c>
      <c r="E371" s="3">
        <v>45478</v>
      </c>
      <c r="F371" s="1">
        <v>148.69999999999999</v>
      </c>
      <c r="G371" s="4">
        <f t="shared" si="21"/>
        <v>4.1869259859532715E-3</v>
      </c>
      <c r="I371" s="3">
        <v>45478</v>
      </c>
      <c r="J371" s="1">
        <v>173.43100000000001</v>
      </c>
      <c r="K371" s="4">
        <f t="shared" si="22"/>
        <v>2.8913265984698011E-3</v>
      </c>
      <c r="M371" s="5">
        <v>45478</v>
      </c>
      <c r="N371" s="2">
        <v>24302.15</v>
      </c>
      <c r="O371" s="4">
        <f t="shared" si="23"/>
        <v>6.4439091676460336E-4</v>
      </c>
    </row>
    <row r="372" spans="1:15" x14ac:dyDescent="0.25">
      <c r="A372" s="3">
        <v>45477</v>
      </c>
      <c r="B372" s="1">
        <v>416.20800000000003</v>
      </c>
      <c r="C372" s="4">
        <f t="shared" si="20"/>
        <v>1.0197602601351718E-3</v>
      </c>
      <c r="E372" s="3">
        <v>45477</v>
      </c>
      <c r="F372" s="1">
        <v>148.08000000000001</v>
      </c>
      <c r="G372" s="4">
        <f t="shared" si="21"/>
        <v>-1.4834794335806256E-3</v>
      </c>
      <c r="I372" s="3">
        <v>45477</v>
      </c>
      <c r="J372" s="1">
        <v>172.93100000000001</v>
      </c>
      <c r="K372" s="4">
        <f t="shared" si="22"/>
        <v>9.4925535547885076E-4</v>
      </c>
      <c r="M372" s="5">
        <v>45477</v>
      </c>
      <c r="N372" s="2">
        <v>24286.5</v>
      </c>
      <c r="O372" s="4">
        <f t="shared" si="23"/>
        <v>6.7422903060665451E-3</v>
      </c>
    </row>
    <row r="373" spans="1:15" x14ac:dyDescent="0.25">
      <c r="A373" s="3">
        <v>45476</v>
      </c>
      <c r="B373" s="1">
        <v>415.78399999999999</v>
      </c>
      <c r="C373" s="4">
        <f t="shared" si="20"/>
        <v>3.8290865721224421E-3</v>
      </c>
      <c r="E373" s="3">
        <v>45476</v>
      </c>
      <c r="F373" s="1">
        <v>148.30000000000001</v>
      </c>
      <c r="G373" s="4">
        <f t="shared" si="21"/>
        <v>3.5866549367260525E-3</v>
      </c>
      <c r="I373" s="3">
        <v>45476</v>
      </c>
      <c r="J373" s="1">
        <v>172.767</v>
      </c>
      <c r="K373" s="4">
        <f t="shared" si="22"/>
        <v>8.9467690600635308E-3</v>
      </c>
      <c r="M373" s="5">
        <v>45476</v>
      </c>
      <c r="N373" s="2">
        <v>24123.85</v>
      </c>
      <c r="O373" s="4">
        <f t="shared" si="23"/>
        <v>-7.4973231242725369E-4</v>
      </c>
    </row>
    <row r="374" spans="1:15" x14ac:dyDescent="0.25">
      <c r="A374" s="3">
        <v>45475</v>
      </c>
      <c r="B374" s="1">
        <v>414.19799999999998</v>
      </c>
      <c r="C374" s="4">
        <f t="shared" si="20"/>
        <v>-4.1928922782503708E-3</v>
      </c>
      <c r="E374" s="3">
        <v>45475</v>
      </c>
      <c r="F374" s="1">
        <v>147.77000000000001</v>
      </c>
      <c r="G374" s="4">
        <f t="shared" si="21"/>
        <v>4.2133876996262032E-3</v>
      </c>
      <c r="I374" s="3">
        <v>45475</v>
      </c>
      <c r="J374" s="1">
        <v>171.23500000000001</v>
      </c>
      <c r="K374" s="4">
        <f t="shared" si="22"/>
        <v>-3.0740031322228356E-3</v>
      </c>
      <c r="M374" s="5">
        <v>45475</v>
      </c>
      <c r="N374" s="2">
        <v>24141.95</v>
      </c>
      <c r="O374" s="4">
        <f t="shared" si="23"/>
        <v>5.4705005289330533E-3</v>
      </c>
    </row>
    <row r="375" spans="1:15" x14ac:dyDescent="0.25">
      <c r="A375" s="3">
        <v>45474</v>
      </c>
      <c r="B375" s="1">
        <v>415.94200000000001</v>
      </c>
      <c r="C375" s="4">
        <f t="shared" si="20"/>
        <v>5.4388288871913826E-3</v>
      </c>
      <c r="E375" s="3">
        <v>45474</v>
      </c>
      <c r="F375" s="1">
        <v>147.15</v>
      </c>
      <c r="G375" s="4">
        <f t="shared" si="21"/>
        <v>8.6366440468848005E-3</v>
      </c>
      <c r="I375" s="3">
        <v>45474</v>
      </c>
      <c r="J375" s="1">
        <v>171.76300000000001</v>
      </c>
      <c r="K375" s="4">
        <f t="shared" si="22"/>
        <v>8.347960854990788E-3</v>
      </c>
      <c r="M375" s="5">
        <v>45474</v>
      </c>
      <c r="N375" s="2">
        <v>24010.6</v>
      </c>
      <c r="O375" s="4">
        <f t="shared" si="23"/>
        <v>-1.4098858366778932E-3</v>
      </c>
    </row>
    <row r="376" spans="1:15" x14ac:dyDescent="0.25">
      <c r="A376" s="3">
        <v>45471</v>
      </c>
      <c r="B376" s="1">
        <v>413.69200000000001</v>
      </c>
      <c r="C376" s="4">
        <f t="shared" si="20"/>
        <v>-3.3830153298919363E-4</v>
      </c>
      <c r="E376" s="3">
        <v>45471</v>
      </c>
      <c r="F376" s="1">
        <v>145.88999999999999</v>
      </c>
      <c r="G376" s="4">
        <f t="shared" si="21"/>
        <v>-1.369019097816504E-3</v>
      </c>
      <c r="I376" s="3">
        <v>45471</v>
      </c>
      <c r="J376" s="1">
        <v>170.34100000000001</v>
      </c>
      <c r="K376" s="4">
        <f t="shared" si="22"/>
        <v>-5.9844053437219102E-4</v>
      </c>
      <c r="M376" s="5">
        <v>45471</v>
      </c>
      <c r="N376" s="2">
        <v>24044.5</v>
      </c>
      <c r="O376" s="4">
        <f t="shared" si="23"/>
        <v>7.3610738704921186E-3</v>
      </c>
    </row>
    <row r="377" spans="1:15" x14ac:dyDescent="0.25">
      <c r="A377" s="3">
        <v>45470</v>
      </c>
      <c r="B377" s="1">
        <v>413.83199999999999</v>
      </c>
      <c r="C377" s="4">
        <f t="shared" si="20"/>
        <v>3.4747901910527901E-3</v>
      </c>
      <c r="E377" s="3">
        <v>45470</v>
      </c>
      <c r="F377" s="1">
        <v>146.09</v>
      </c>
      <c r="G377" s="4">
        <f t="shared" si="21"/>
        <v>5.2986512524084706E-3</v>
      </c>
      <c r="I377" s="3">
        <v>45470</v>
      </c>
      <c r="J377" s="1">
        <v>170.44300000000001</v>
      </c>
      <c r="K377" s="4">
        <f t="shared" si="22"/>
        <v>2.9834761321909653E-3</v>
      </c>
      <c r="M377" s="5">
        <v>45470</v>
      </c>
      <c r="N377" s="2">
        <v>23868.799999999999</v>
      </c>
      <c r="O377" s="4">
        <f t="shared" si="23"/>
        <v>6.2180403266263173E-3</v>
      </c>
    </row>
    <row r="378" spans="1:15" x14ac:dyDescent="0.25">
      <c r="A378" s="3">
        <v>45469</v>
      </c>
      <c r="B378" s="1">
        <v>412.399</v>
      </c>
      <c r="C378" s="4">
        <f t="shared" si="20"/>
        <v>2.2407084721625115E-3</v>
      </c>
      <c r="E378" s="3">
        <v>45469</v>
      </c>
      <c r="F378" s="1">
        <v>145.32</v>
      </c>
      <c r="G378" s="4">
        <f t="shared" si="21"/>
        <v>-1.0998075336815516E-3</v>
      </c>
      <c r="I378" s="3">
        <v>45469</v>
      </c>
      <c r="J378" s="1">
        <v>169.93600000000001</v>
      </c>
      <c r="K378" s="4">
        <f t="shared" si="22"/>
        <v>2.8444297567480348E-3</v>
      </c>
      <c r="M378" s="5">
        <v>45469</v>
      </c>
      <c r="N378" s="2">
        <v>23721.3</v>
      </c>
      <c r="O378" s="4">
        <f t="shared" si="23"/>
        <v>7.7938299377386944E-3</v>
      </c>
    </row>
    <row r="379" spans="1:15" x14ac:dyDescent="0.25">
      <c r="A379" s="3">
        <v>45468</v>
      </c>
      <c r="B379" s="1">
        <v>411.47699999999998</v>
      </c>
      <c r="C379" s="4">
        <f t="shared" si="20"/>
        <v>7.5046766500495021E-3</v>
      </c>
      <c r="E379" s="3">
        <v>45468</v>
      </c>
      <c r="F379" s="1">
        <v>145.47999999999999</v>
      </c>
      <c r="G379" s="4">
        <f t="shared" si="21"/>
        <v>4.0720546621575426E-3</v>
      </c>
      <c r="I379" s="3">
        <v>45468</v>
      </c>
      <c r="J379" s="1">
        <v>169.45400000000001</v>
      </c>
      <c r="K379" s="4">
        <f t="shared" si="22"/>
        <v>4.374214656582609E-3</v>
      </c>
      <c r="M379" s="5">
        <v>45468</v>
      </c>
      <c r="N379" s="2">
        <v>23537.85</v>
      </c>
      <c r="O379" s="4">
        <f t="shared" si="23"/>
        <v>1.5637565901169825E-3</v>
      </c>
    </row>
    <row r="380" spans="1:15" x14ac:dyDescent="0.25">
      <c r="A380" s="3">
        <v>45467</v>
      </c>
      <c r="B380" s="1">
        <v>408.41199999999998</v>
      </c>
      <c r="C380" s="4">
        <f t="shared" si="20"/>
        <v>-3.8950364504194424E-3</v>
      </c>
      <c r="E380" s="3">
        <v>45467</v>
      </c>
      <c r="F380" s="1">
        <v>144.88999999999999</v>
      </c>
      <c r="G380" s="4">
        <f t="shared" si="21"/>
        <v>4.833586521197919E-4</v>
      </c>
      <c r="I380" s="3">
        <v>45467</v>
      </c>
      <c r="J380" s="1">
        <v>168.71600000000001</v>
      </c>
      <c r="K380" s="4">
        <f t="shared" si="22"/>
        <v>1.7991485217887515E-3</v>
      </c>
      <c r="M380" s="5">
        <v>45467</v>
      </c>
      <c r="N380" s="2">
        <v>23501.1</v>
      </c>
      <c r="O380" s="4">
        <f t="shared" si="23"/>
        <v>-2.7962829380066001E-3</v>
      </c>
    </row>
    <row r="381" spans="1:15" x14ac:dyDescent="0.25">
      <c r="A381" s="3">
        <v>45464</v>
      </c>
      <c r="B381" s="1">
        <v>410.00900000000001</v>
      </c>
      <c r="C381" s="4">
        <f t="shared" si="20"/>
        <v>5.5648207190857057E-3</v>
      </c>
      <c r="E381" s="3">
        <v>45464</v>
      </c>
      <c r="F381" s="1">
        <v>144.82</v>
      </c>
      <c r="G381" s="4">
        <f t="shared" si="21"/>
        <v>5.8341436310598294E-3</v>
      </c>
      <c r="I381" s="3">
        <v>45464</v>
      </c>
      <c r="J381" s="1">
        <v>168.41300000000001</v>
      </c>
      <c r="K381" s="4">
        <f t="shared" si="22"/>
        <v>-1.7426662794074455E-3</v>
      </c>
      <c r="M381" s="5">
        <v>45464</v>
      </c>
      <c r="N381" s="2">
        <v>23567</v>
      </c>
      <c r="O381" s="4">
        <f t="shared" si="23"/>
        <v>2.1687361796223215E-3</v>
      </c>
    </row>
    <row r="382" spans="1:15" x14ac:dyDescent="0.25">
      <c r="A382" s="3">
        <v>45463</v>
      </c>
      <c r="B382" s="1">
        <v>407.74</v>
      </c>
      <c r="C382" s="4">
        <f t="shared" si="20"/>
        <v>1.9620731264602398E-5</v>
      </c>
      <c r="E382" s="3">
        <v>45463</v>
      </c>
      <c r="F382" s="1">
        <v>143.97999999999999</v>
      </c>
      <c r="G382" s="4">
        <f t="shared" si="21"/>
        <v>5.0959860383943401E-3</v>
      </c>
      <c r="I382" s="3">
        <v>45463</v>
      </c>
      <c r="J382" s="1">
        <v>168.70699999999999</v>
      </c>
      <c r="K382" s="4">
        <f t="shared" si="22"/>
        <v>2.5076507115904256E-3</v>
      </c>
      <c r="M382" s="5">
        <v>45463</v>
      </c>
      <c r="N382" s="2">
        <v>23516</v>
      </c>
      <c r="O382" s="4">
        <f t="shared" si="23"/>
        <v>-1.7785965642099777E-3</v>
      </c>
    </row>
    <row r="383" spans="1:15" x14ac:dyDescent="0.25">
      <c r="A383" s="3">
        <v>45462</v>
      </c>
      <c r="B383" s="1">
        <v>407.73200000000003</v>
      </c>
      <c r="C383" s="4">
        <f t="shared" si="20"/>
        <v>9.7217039495656188E-4</v>
      </c>
      <c r="E383" s="3">
        <v>45462</v>
      </c>
      <c r="F383" s="1">
        <v>143.25</v>
      </c>
      <c r="G383" s="4">
        <f t="shared" si="21"/>
        <v>-2.7845457709712029E-3</v>
      </c>
      <c r="I383" s="3">
        <v>45462</v>
      </c>
      <c r="J383" s="1">
        <v>168.285</v>
      </c>
      <c r="K383" s="4">
        <f t="shared" si="22"/>
        <v>-4.8784814617705008E-3</v>
      </c>
      <c r="M383" s="5">
        <v>45462</v>
      </c>
      <c r="N383" s="2">
        <v>23557.9</v>
      </c>
      <c r="O383" s="4">
        <f t="shared" si="23"/>
        <v>3.933417428064967E-3</v>
      </c>
    </row>
    <row r="384" spans="1:15" x14ac:dyDescent="0.25">
      <c r="A384" s="3">
        <v>45461</v>
      </c>
      <c r="B384" s="1">
        <v>407.33600000000001</v>
      </c>
      <c r="C384" s="4">
        <f t="shared" si="20"/>
        <v>3.055935187579184E-3</v>
      </c>
      <c r="E384" s="3">
        <v>45461</v>
      </c>
      <c r="F384" s="1">
        <v>143.65</v>
      </c>
      <c r="G384" s="4">
        <f t="shared" si="21"/>
        <v>9.7554177409242548E-4</v>
      </c>
      <c r="I384" s="3">
        <v>45461</v>
      </c>
      <c r="J384" s="1">
        <v>169.11</v>
      </c>
      <c r="K384" s="4">
        <f t="shared" si="22"/>
        <v>9.2564410148068266E-3</v>
      </c>
      <c r="M384" s="5">
        <v>45461</v>
      </c>
      <c r="N384" s="2">
        <v>23465.599999999999</v>
      </c>
      <c r="O384" s="4">
        <f t="shared" si="23"/>
        <v>2.8505613511744521E-3</v>
      </c>
    </row>
    <row r="385" spans="1:15" x14ac:dyDescent="0.25">
      <c r="A385" s="3">
        <v>45457</v>
      </c>
      <c r="B385" s="1">
        <v>406.09500000000003</v>
      </c>
      <c r="C385" s="4">
        <f t="shared" si="20"/>
        <v>3.7694342141039172E-3</v>
      </c>
      <c r="E385" s="3">
        <v>45457</v>
      </c>
      <c r="F385" s="1">
        <v>143.51</v>
      </c>
      <c r="G385" s="4">
        <f t="shared" si="21"/>
        <v>-2.7102154273802581E-3</v>
      </c>
      <c r="I385" s="3">
        <v>45457</v>
      </c>
      <c r="J385" s="1">
        <v>167.559</v>
      </c>
      <c r="K385" s="4">
        <f t="shared" si="22"/>
        <v>4.255344652949633E-3</v>
      </c>
      <c r="M385" s="5">
        <v>45457</v>
      </c>
      <c r="N385" s="2">
        <v>23398.9</v>
      </c>
      <c r="O385" s="4">
        <f t="shared" si="23"/>
        <v>3.2564491198583401E-3</v>
      </c>
    </row>
    <row r="386" spans="1:15" x14ac:dyDescent="0.25">
      <c r="A386" s="3">
        <v>45456</v>
      </c>
      <c r="B386" s="1">
        <v>404.57</v>
      </c>
      <c r="C386" s="4">
        <f t="shared" si="20"/>
        <v>2.8456554178997173E-3</v>
      </c>
      <c r="E386" s="3">
        <v>45456</v>
      </c>
      <c r="F386" s="1">
        <v>143.9</v>
      </c>
      <c r="G386" s="4">
        <f t="shared" si="21"/>
        <v>9.8245614035088469E-3</v>
      </c>
      <c r="I386" s="3">
        <v>45456</v>
      </c>
      <c r="J386" s="1">
        <v>166.84899999999999</v>
      </c>
      <c r="K386" s="4">
        <f t="shared" si="22"/>
        <v>3.9290957664444015E-3</v>
      </c>
      <c r="M386" s="5">
        <v>45456</v>
      </c>
      <c r="N386" s="2">
        <v>23322.95</v>
      </c>
      <c r="O386" s="4">
        <f t="shared" si="23"/>
        <v>2.4973296625596664E-3</v>
      </c>
    </row>
    <row r="387" spans="1:15" x14ac:dyDescent="0.25">
      <c r="A387" s="3">
        <v>45455</v>
      </c>
      <c r="B387" s="1">
        <v>403.42200000000003</v>
      </c>
      <c r="C387" s="4">
        <f t="shared" ref="C387:C450" si="24">(B387/B388)-1</f>
        <v>-7.1879856537671039E-5</v>
      </c>
      <c r="E387" s="3">
        <v>45455</v>
      </c>
      <c r="F387" s="1">
        <v>142.5</v>
      </c>
      <c r="G387" s="4">
        <f t="shared" ref="G387:G450" si="25">(F387/F388)-1</f>
        <v>6.9248162803843272E-3</v>
      </c>
      <c r="I387" s="3">
        <v>45455</v>
      </c>
      <c r="J387" s="1">
        <v>166.196</v>
      </c>
      <c r="K387" s="4">
        <f t="shared" ref="K387:K450" si="26">(J387/J388)-1</f>
        <v>6.7969516701600341E-3</v>
      </c>
      <c r="M387" s="5">
        <v>45455</v>
      </c>
      <c r="N387" s="2">
        <v>23264.85</v>
      </c>
      <c r="O387" s="4">
        <f t="shared" ref="O387:O450" si="27">(N387/N388)-1</f>
        <v>2.4291463162962046E-4</v>
      </c>
    </row>
    <row r="388" spans="1:15" x14ac:dyDescent="0.25">
      <c r="A388" s="3">
        <v>45454</v>
      </c>
      <c r="B388" s="1">
        <v>403.45100000000002</v>
      </c>
      <c r="C388" s="4">
        <f t="shared" si="24"/>
        <v>-3.5540517177503617E-3</v>
      </c>
      <c r="E388" s="3">
        <v>45454</v>
      </c>
      <c r="F388" s="1">
        <v>141.52000000000001</v>
      </c>
      <c r="G388" s="4">
        <f t="shared" si="25"/>
        <v>7.7618742433953614E-3</v>
      </c>
      <c r="I388" s="3">
        <v>45454</v>
      </c>
      <c r="J388" s="1">
        <v>165.07400000000001</v>
      </c>
      <c r="K388" s="4">
        <f t="shared" si="26"/>
        <v>2.928453387770924E-3</v>
      </c>
      <c r="M388" s="5">
        <v>45454</v>
      </c>
      <c r="N388" s="2">
        <v>23259.200000000001</v>
      </c>
      <c r="O388" s="4">
        <f t="shared" si="27"/>
        <v>-1.3288879633664985E-3</v>
      </c>
    </row>
    <row r="389" spans="1:15" x14ac:dyDescent="0.25">
      <c r="A389" s="3">
        <v>45453</v>
      </c>
      <c r="B389" s="1">
        <v>404.89</v>
      </c>
      <c r="C389" s="4">
        <f t="shared" si="24"/>
        <v>6.7357731966453116E-3</v>
      </c>
      <c r="E389" s="3">
        <v>45453</v>
      </c>
      <c r="F389" s="1">
        <v>140.43</v>
      </c>
      <c r="G389" s="4">
        <f t="shared" si="25"/>
        <v>4.003717737899537E-3</v>
      </c>
      <c r="I389" s="3">
        <v>45453</v>
      </c>
      <c r="J389" s="1">
        <v>164.59200000000001</v>
      </c>
      <c r="K389" s="4">
        <f t="shared" si="26"/>
        <v>4.6634274971311118E-3</v>
      </c>
      <c r="M389" s="5">
        <v>45453</v>
      </c>
      <c r="N389" s="2">
        <v>23290.15</v>
      </c>
      <c r="O389" s="4">
        <f t="shared" si="27"/>
        <v>2.0539931818380985E-2</v>
      </c>
    </row>
    <row r="390" spans="1:15" x14ac:dyDescent="0.25">
      <c r="A390" s="3">
        <v>45450</v>
      </c>
      <c r="B390" s="1">
        <v>402.18099999999998</v>
      </c>
      <c r="C390" s="4">
        <f t="shared" si="24"/>
        <v>-2.7350121335145694E-5</v>
      </c>
      <c r="E390" s="3">
        <v>45450</v>
      </c>
      <c r="F390" s="1">
        <v>139.87</v>
      </c>
      <c r="G390" s="4">
        <f t="shared" si="25"/>
        <v>1.5036517256195037E-3</v>
      </c>
      <c r="I390" s="3">
        <v>45450</v>
      </c>
      <c r="J390" s="1">
        <v>163.828</v>
      </c>
      <c r="K390" s="4">
        <f t="shared" si="26"/>
        <v>1.9871012724420378E-2</v>
      </c>
      <c r="M390" s="5">
        <v>45450</v>
      </c>
      <c r="N390" s="2">
        <v>22821.4</v>
      </c>
      <c r="O390" s="4">
        <f t="shared" si="27"/>
        <v>8.888014553267487E-3</v>
      </c>
    </row>
    <row r="391" spans="1:15" x14ac:dyDescent="0.25">
      <c r="A391" s="3">
        <v>45449</v>
      </c>
      <c r="B391" s="1">
        <v>402.19200000000001</v>
      </c>
      <c r="C391" s="4">
        <f t="shared" si="24"/>
        <v>2.7775145981581151E-3</v>
      </c>
      <c r="E391" s="3">
        <v>45449</v>
      </c>
      <c r="F391" s="1">
        <v>139.66</v>
      </c>
      <c r="G391" s="4">
        <f t="shared" si="25"/>
        <v>3.2325263989654296E-3</v>
      </c>
      <c r="I391" s="3">
        <v>45449</v>
      </c>
      <c r="J391" s="1">
        <v>160.636</v>
      </c>
      <c r="K391" s="4">
        <f t="shared" si="26"/>
        <v>1.6786510026331802E-2</v>
      </c>
      <c r="M391" s="5">
        <v>45449</v>
      </c>
      <c r="N391" s="2">
        <v>22620.35</v>
      </c>
      <c r="O391" s="4">
        <f t="shared" si="27"/>
        <v>3.3624254609426751E-2</v>
      </c>
    </row>
    <row r="392" spans="1:15" x14ac:dyDescent="0.25">
      <c r="A392" s="3">
        <v>45448</v>
      </c>
      <c r="B392" s="1">
        <v>401.07799999999997</v>
      </c>
      <c r="C392" s="4">
        <f t="shared" si="24"/>
        <v>5.7650979615275766E-3</v>
      </c>
      <c r="E392" s="3">
        <v>45448</v>
      </c>
      <c r="F392" s="1">
        <v>139.21</v>
      </c>
      <c r="G392" s="4">
        <f t="shared" si="25"/>
        <v>1.8883114982068516E-2</v>
      </c>
      <c r="I392" s="3">
        <v>45448</v>
      </c>
      <c r="J392" s="1">
        <v>157.98400000000001</v>
      </c>
      <c r="K392" s="4">
        <f t="shared" si="26"/>
        <v>3.7096361261184541E-2</v>
      </c>
      <c r="M392" s="5">
        <v>45448</v>
      </c>
      <c r="N392" s="2">
        <v>21884.5</v>
      </c>
      <c r="O392" s="4">
        <f t="shared" si="27"/>
        <v>-5.9293583620975032E-2</v>
      </c>
    </row>
    <row r="393" spans="1:15" x14ac:dyDescent="0.25">
      <c r="A393" s="3">
        <v>45447</v>
      </c>
      <c r="B393" s="1">
        <v>398.779</v>
      </c>
      <c r="C393" s="4">
        <f t="shared" si="24"/>
        <v>2.3627648370321275E-3</v>
      </c>
      <c r="E393" s="3">
        <v>45447</v>
      </c>
      <c r="F393" s="1">
        <v>136.63</v>
      </c>
      <c r="G393" s="4">
        <f t="shared" si="25"/>
        <v>1.7500744712540817E-2</v>
      </c>
      <c r="I393" s="3">
        <v>45447</v>
      </c>
      <c r="J393" s="1">
        <v>152.333</v>
      </c>
      <c r="K393" s="4">
        <f t="shared" si="26"/>
        <v>-7.2243369164712634E-2</v>
      </c>
      <c r="M393" s="5">
        <v>45447</v>
      </c>
      <c r="N393" s="2">
        <v>23263.9</v>
      </c>
      <c r="O393" s="4">
        <f t="shared" si="27"/>
        <v>3.2542264554585643E-2</v>
      </c>
    </row>
    <row r="394" spans="1:15" x14ac:dyDescent="0.25">
      <c r="A394" s="3">
        <v>45446</v>
      </c>
      <c r="B394" s="1">
        <v>397.839</v>
      </c>
      <c r="C394" s="4">
        <f t="shared" si="24"/>
        <v>5.8326507084129897E-3</v>
      </c>
      <c r="E394" s="3">
        <v>45446</v>
      </c>
      <c r="F394" s="1">
        <v>134.28</v>
      </c>
      <c r="G394" s="4">
        <f t="shared" si="25"/>
        <v>3.2764190124596082E-2</v>
      </c>
      <c r="I394" s="3">
        <v>45446</v>
      </c>
      <c r="J394" s="1">
        <v>164.19499999999999</v>
      </c>
      <c r="K394" s="4">
        <f t="shared" si="26"/>
        <v>3.5042487203408967E-2</v>
      </c>
      <c r="M394" s="5">
        <v>45446</v>
      </c>
      <c r="N394" s="2">
        <v>22530.7</v>
      </c>
      <c r="O394" s="4">
        <f t="shared" si="27"/>
        <v>1.8698321153114428E-3</v>
      </c>
    </row>
    <row r="395" spans="1:15" x14ac:dyDescent="0.25">
      <c r="A395" s="3">
        <v>45443</v>
      </c>
      <c r="B395" s="1">
        <v>395.53199999999998</v>
      </c>
      <c r="C395" s="4">
        <f t="shared" si="24"/>
        <v>6.2251167050384471E-3</v>
      </c>
      <c r="E395" s="3">
        <v>45443</v>
      </c>
      <c r="F395" s="1">
        <v>130.02000000000001</v>
      </c>
      <c r="G395" s="4">
        <f t="shared" si="25"/>
        <v>-7.3007272208755025E-2</v>
      </c>
      <c r="I395" s="3">
        <v>45443</v>
      </c>
      <c r="J395" s="1">
        <v>158.636</v>
      </c>
      <c r="K395" s="4">
        <f t="shared" si="26"/>
        <v>1.0222497065766056E-3</v>
      </c>
      <c r="M395" s="5">
        <v>45443</v>
      </c>
      <c r="N395" s="2">
        <v>22488.65</v>
      </c>
      <c r="O395" s="4">
        <f t="shared" si="27"/>
        <v>-9.515650944518117E-3</v>
      </c>
    </row>
    <row r="396" spans="1:15" x14ac:dyDescent="0.25">
      <c r="A396" s="3">
        <v>45442</v>
      </c>
      <c r="B396" s="1">
        <v>393.08499999999998</v>
      </c>
      <c r="C396" s="4">
        <f t="shared" si="24"/>
        <v>4.4924066062397294E-3</v>
      </c>
      <c r="E396" s="3">
        <v>45442</v>
      </c>
      <c r="F396" s="1">
        <v>140.26</v>
      </c>
      <c r="G396" s="4">
        <f t="shared" si="25"/>
        <v>3.398451898267596E-2</v>
      </c>
      <c r="I396" s="3">
        <v>45442</v>
      </c>
      <c r="J396" s="1">
        <v>158.47399999999999</v>
      </c>
      <c r="K396" s="4">
        <f t="shared" si="26"/>
        <v>-8.5398432172374417E-3</v>
      </c>
      <c r="M396" s="5">
        <v>45442</v>
      </c>
      <c r="N396" s="2">
        <v>22704.7</v>
      </c>
      <c r="O396" s="4">
        <f t="shared" si="27"/>
        <v>-8.015064563977492E-3</v>
      </c>
    </row>
    <row r="397" spans="1:15" x14ac:dyDescent="0.25">
      <c r="A397" s="3">
        <v>45441</v>
      </c>
      <c r="B397" s="1">
        <v>391.327</v>
      </c>
      <c r="C397" s="4">
        <f t="shared" si="24"/>
        <v>1.5755716314044932E-2</v>
      </c>
      <c r="E397" s="3">
        <v>45441</v>
      </c>
      <c r="F397" s="1">
        <v>135.65</v>
      </c>
      <c r="G397" s="4">
        <f t="shared" si="25"/>
        <v>1.7723949486745383E-3</v>
      </c>
      <c r="I397" s="3">
        <v>45441</v>
      </c>
      <c r="J397" s="1">
        <v>159.839</v>
      </c>
      <c r="K397" s="4">
        <f t="shared" si="26"/>
        <v>-5.4506424415892152E-3</v>
      </c>
      <c r="M397" s="5">
        <v>45441</v>
      </c>
      <c r="N397" s="2">
        <v>22888.15</v>
      </c>
      <c r="O397" s="4">
        <f t="shared" si="27"/>
        <v>-1.9317604529824894E-3</v>
      </c>
    </row>
    <row r="398" spans="1:15" x14ac:dyDescent="0.25">
      <c r="A398" s="3">
        <v>45440</v>
      </c>
      <c r="B398" s="1">
        <v>385.25700000000001</v>
      </c>
      <c r="C398" s="4">
        <f t="shared" si="24"/>
        <v>1.6949286762609761E-2</v>
      </c>
      <c r="E398" s="3">
        <v>45440</v>
      </c>
      <c r="F398" s="1">
        <v>135.41</v>
      </c>
      <c r="G398" s="4">
        <f t="shared" si="25"/>
        <v>-8.8566827697262873E-3</v>
      </c>
      <c r="I398" s="3">
        <v>45440</v>
      </c>
      <c r="J398" s="1">
        <v>160.715</v>
      </c>
      <c r="K398" s="4">
        <f t="shared" si="26"/>
        <v>-2.19162093029035E-3</v>
      </c>
      <c r="M398" s="5">
        <v>45440</v>
      </c>
      <c r="N398" s="2">
        <v>22932.45</v>
      </c>
      <c r="O398" s="4">
        <f t="shared" si="27"/>
        <v>-1.073741892486324E-3</v>
      </c>
    </row>
    <row r="399" spans="1:15" x14ac:dyDescent="0.25">
      <c r="A399" s="3">
        <v>45439</v>
      </c>
      <c r="B399" s="1">
        <v>378.83600000000001</v>
      </c>
      <c r="C399" s="4">
        <f t="shared" si="24"/>
        <v>3.27712879789539E-2</v>
      </c>
      <c r="E399" s="3">
        <v>45439</v>
      </c>
      <c r="F399" s="1">
        <v>136.62</v>
      </c>
      <c r="G399" s="4">
        <f t="shared" si="25"/>
        <v>-3.4284046976438276E-3</v>
      </c>
      <c r="I399" s="3">
        <v>45439</v>
      </c>
      <c r="J399" s="1">
        <v>161.06800000000001</v>
      </c>
      <c r="K399" s="4">
        <f t="shared" si="26"/>
        <v>9.9435702388950276E-4</v>
      </c>
      <c r="M399" s="5">
        <v>45439</v>
      </c>
      <c r="N399" s="2">
        <v>22957.1</v>
      </c>
      <c r="O399" s="4">
        <f t="shared" si="27"/>
        <v>-4.5934172629780168E-4</v>
      </c>
    </row>
    <row r="400" spans="1:15" x14ac:dyDescent="0.25">
      <c r="A400" s="3">
        <v>45436</v>
      </c>
      <c r="B400" s="1">
        <v>366.815</v>
      </c>
      <c r="C400" s="4">
        <f t="shared" si="24"/>
        <v>-6.5920214310087544E-2</v>
      </c>
      <c r="E400" s="3">
        <v>45436</v>
      </c>
      <c r="F400" s="1">
        <v>137.09</v>
      </c>
      <c r="G400" s="4">
        <f t="shared" si="25"/>
        <v>-6.7381538907405059E-3</v>
      </c>
      <c r="I400" s="3">
        <v>45436</v>
      </c>
      <c r="J400" s="1">
        <v>160.90799999999999</v>
      </c>
      <c r="K400" s="4">
        <f t="shared" si="26"/>
        <v>3.3109485774143188E-3</v>
      </c>
      <c r="M400" s="5">
        <v>45436</v>
      </c>
      <c r="N400" s="2">
        <v>22967.65</v>
      </c>
      <c r="O400" s="4">
        <f t="shared" si="27"/>
        <v>1.6366637460283773E-2</v>
      </c>
    </row>
    <row r="401" spans="1:15" x14ac:dyDescent="0.25">
      <c r="A401" s="3">
        <v>45435</v>
      </c>
      <c r="B401" s="1">
        <v>392.702</v>
      </c>
      <c r="C401" s="4">
        <f t="shared" si="24"/>
        <v>3.0281246720537336E-2</v>
      </c>
      <c r="E401" s="3">
        <v>45435</v>
      </c>
      <c r="F401" s="1">
        <v>138.02000000000001</v>
      </c>
      <c r="G401" s="4">
        <f t="shared" si="25"/>
        <v>9.4278047719220659E-4</v>
      </c>
      <c r="I401" s="3">
        <v>45435</v>
      </c>
      <c r="J401" s="1">
        <v>160.37700000000001</v>
      </c>
      <c r="K401" s="4">
        <f t="shared" si="26"/>
        <v>9.4984515446787654E-3</v>
      </c>
      <c r="M401" s="5">
        <v>45435</v>
      </c>
      <c r="N401" s="2">
        <v>22597.8</v>
      </c>
      <c r="O401" s="4">
        <f t="shared" si="27"/>
        <v>3.0516155807722711E-3</v>
      </c>
    </row>
    <row r="402" spans="1:15" x14ac:dyDescent="0.25">
      <c r="A402" s="3">
        <v>45434</v>
      </c>
      <c r="B402" s="1">
        <v>381.16</v>
      </c>
      <c r="C402" s="4">
        <f t="shared" si="24"/>
        <v>5.9593245746922818E-3</v>
      </c>
      <c r="E402" s="3">
        <v>45434</v>
      </c>
      <c r="F402" s="1">
        <v>137.88999999999999</v>
      </c>
      <c r="G402" s="4">
        <f t="shared" si="25"/>
        <v>3.3471585534452508E-3</v>
      </c>
      <c r="I402" s="3">
        <v>45434</v>
      </c>
      <c r="J402" s="1">
        <v>158.86799999999999</v>
      </c>
      <c r="K402" s="4">
        <f t="shared" si="26"/>
        <v>2.5621284598200678E-3</v>
      </c>
      <c r="M402" s="5">
        <v>45434</v>
      </c>
      <c r="N402" s="2">
        <v>22529.05</v>
      </c>
      <c r="O402" s="4">
        <f t="shared" si="27"/>
        <v>2.8019994569596918E-3</v>
      </c>
    </row>
    <row r="403" spans="1:15" x14ac:dyDescent="0.25">
      <c r="A403" s="3">
        <v>45433</v>
      </c>
      <c r="B403" s="1">
        <v>378.90199999999999</v>
      </c>
      <c r="C403" s="4">
        <f t="shared" si="24"/>
        <v>-1.2617786857905378E-2</v>
      </c>
      <c r="E403" s="3">
        <v>45433</v>
      </c>
      <c r="F403" s="1">
        <v>137.43</v>
      </c>
      <c r="G403" s="4">
        <f t="shared" si="25"/>
        <v>1.0960717963807598E-2</v>
      </c>
      <c r="I403" s="3">
        <v>45433</v>
      </c>
      <c r="J403" s="1">
        <v>158.46199999999999</v>
      </c>
      <c r="K403" s="4">
        <f t="shared" si="26"/>
        <v>6.2932222440956753E-3</v>
      </c>
      <c r="M403" s="5">
        <v>45433</v>
      </c>
      <c r="N403" s="2">
        <v>22466.1</v>
      </c>
      <c r="O403" s="4">
        <f t="shared" si="27"/>
        <v>2.7785402955295968E-3</v>
      </c>
    </row>
    <row r="404" spans="1:15" x14ac:dyDescent="0.25">
      <c r="A404" s="3">
        <v>45429</v>
      </c>
      <c r="B404" s="1">
        <v>383.74400000000003</v>
      </c>
      <c r="C404" s="4">
        <f t="shared" si="24"/>
        <v>-4.27874922481708E-3</v>
      </c>
      <c r="E404" s="3">
        <v>45429</v>
      </c>
      <c r="F404" s="1">
        <v>135.94</v>
      </c>
      <c r="G404" s="4">
        <f t="shared" si="25"/>
        <v>2.9511583296444321E-3</v>
      </c>
      <c r="I404" s="3">
        <v>45429</v>
      </c>
      <c r="J404" s="1">
        <v>157.471</v>
      </c>
      <c r="K404" s="4">
        <f t="shared" si="26"/>
        <v>5.1768160347249736E-3</v>
      </c>
      <c r="M404" s="5">
        <v>45429</v>
      </c>
      <c r="N404" s="2">
        <v>22403.85</v>
      </c>
      <c r="O404" s="4">
        <f t="shared" si="27"/>
        <v>9.1574307843724778E-3</v>
      </c>
    </row>
    <row r="405" spans="1:15" x14ac:dyDescent="0.25">
      <c r="A405" s="3">
        <v>45428</v>
      </c>
      <c r="B405" s="1">
        <v>385.39299999999997</v>
      </c>
      <c r="C405" s="4">
        <f t="shared" si="24"/>
        <v>-3.4159611495835351E-3</v>
      </c>
      <c r="E405" s="3">
        <v>45428</v>
      </c>
      <c r="F405" s="1">
        <v>135.54</v>
      </c>
      <c r="G405" s="4">
        <f t="shared" si="25"/>
        <v>8.4821428571426605E-3</v>
      </c>
      <c r="I405" s="3">
        <v>45428</v>
      </c>
      <c r="J405" s="1">
        <v>156.66</v>
      </c>
      <c r="K405" s="4">
        <f t="shared" si="26"/>
        <v>1.1342582132043866E-2</v>
      </c>
      <c r="M405" s="5">
        <v>45428</v>
      </c>
      <c r="N405" s="2">
        <v>22200.55</v>
      </c>
      <c r="O405" s="4">
        <f t="shared" si="27"/>
        <v>-7.7865320001702099E-4</v>
      </c>
    </row>
    <row r="406" spans="1:15" x14ac:dyDescent="0.25">
      <c r="A406" s="3">
        <v>45427</v>
      </c>
      <c r="B406" s="1">
        <v>386.714</v>
      </c>
      <c r="C406" s="4">
        <f t="shared" si="24"/>
        <v>-3.5930960855934391E-4</v>
      </c>
      <c r="E406" s="3">
        <v>45427</v>
      </c>
      <c r="F406" s="1">
        <v>134.4</v>
      </c>
      <c r="G406" s="4">
        <f t="shared" si="25"/>
        <v>6.741573033707926E-3</v>
      </c>
      <c r="I406" s="3">
        <v>45427</v>
      </c>
      <c r="J406" s="1">
        <v>154.90299999999999</v>
      </c>
      <c r="K406" s="4">
        <f t="shared" si="26"/>
        <v>5.3674809834107773E-3</v>
      </c>
      <c r="M406" s="5">
        <v>45427</v>
      </c>
      <c r="N406" s="2">
        <v>22217.85</v>
      </c>
      <c r="O406" s="4">
        <f t="shared" si="27"/>
        <v>5.1483777859713253E-3</v>
      </c>
    </row>
    <row r="407" spans="1:15" x14ac:dyDescent="0.25">
      <c r="A407" s="3">
        <v>45426</v>
      </c>
      <c r="B407" s="1">
        <v>386.85300000000001</v>
      </c>
      <c r="C407" s="4">
        <f t="shared" si="24"/>
        <v>-7.9811551753516952E-4</v>
      </c>
      <c r="E407" s="3">
        <v>45426</v>
      </c>
      <c r="F407" s="1">
        <v>133.5</v>
      </c>
      <c r="G407" s="4">
        <f t="shared" si="25"/>
        <v>1.2514220705347023E-2</v>
      </c>
      <c r="I407" s="3">
        <v>45426</v>
      </c>
      <c r="J407" s="1">
        <v>154.07599999999999</v>
      </c>
      <c r="K407" s="4">
        <f t="shared" si="26"/>
        <v>9.4871190083078982E-3</v>
      </c>
      <c r="M407" s="5">
        <v>45426</v>
      </c>
      <c r="N407" s="2">
        <v>22104.05</v>
      </c>
      <c r="O407" s="4">
        <f t="shared" si="27"/>
        <v>2.2148971671078765E-3</v>
      </c>
    </row>
    <row r="408" spans="1:15" x14ac:dyDescent="0.25">
      <c r="A408" s="3">
        <v>45425</v>
      </c>
      <c r="B408" s="1">
        <v>387.16199999999998</v>
      </c>
      <c r="C408" s="4">
        <f t="shared" si="24"/>
        <v>6.7111999812781153E-3</v>
      </c>
      <c r="E408" s="3">
        <v>45425</v>
      </c>
      <c r="F408" s="1">
        <v>131.85</v>
      </c>
      <c r="G408" s="4">
        <f t="shared" si="25"/>
        <v>6.5653866707380271E-3</v>
      </c>
      <c r="I408" s="3">
        <v>45425</v>
      </c>
      <c r="J408" s="1">
        <v>152.62799999999999</v>
      </c>
      <c r="K408" s="4">
        <f t="shared" si="26"/>
        <v>1.2661134253943995E-3</v>
      </c>
      <c r="M408" s="5">
        <v>45425</v>
      </c>
      <c r="N408" s="2">
        <v>22055.200000000001</v>
      </c>
      <c r="O408" s="4">
        <f t="shared" si="27"/>
        <v>4.4495047250370234E-3</v>
      </c>
    </row>
    <row r="409" spans="1:15" x14ac:dyDescent="0.25">
      <c r="A409" s="3">
        <v>45422</v>
      </c>
      <c r="B409" s="1">
        <v>384.58100000000002</v>
      </c>
      <c r="C409" s="4">
        <f t="shared" si="24"/>
        <v>4.3963247765432811E-4</v>
      </c>
      <c r="E409" s="3">
        <v>45422</v>
      </c>
      <c r="F409" s="1">
        <v>130.99</v>
      </c>
      <c r="G409" s="4">
        <f t="shared" si="25"/>
        <v>9.0124788168233216E-3</v>
      </c>
      <c r="I409" s="3">
        <v>45422</v>
      </c>
      <c r="J409" s="1">
        <v>152.435</v>
      </c>
      <c r="K409" s="4">
        <f t="shared" si="26"/>
        <v>6.1317703589296446E-3</v>
      </c>
      <c r="M409" s="5">
        <v>45422</v>
      </c>
      <c r="N409" s="2">
        <v>21957.5</v>
      </c>
      <c r="O409" s="4">
        <f t="shared" si="27"/>
        <v>-1.546911781190452E-2</v>
      </c>
    </row>
    <row r="410" spans="1:15" x14ac:dyDescent="0.25">
      <c r="A410" s="3">
        <v>45421</v>
      </c>
      <c r="B410" s="1">
        <v>384.41199999999998</v>
      </c>
      <c r="C410" s="4">
        <f t="shared" si="24"/>
        <v>3.930458309720164E-3</v>
      </c>
      <c r="E410" s="3">
        <v>45421</v>
      </c>
      <c r="F410" s="1">
        <v>129.82</v>
      </c>
      <c r="G410" s="4">
        <f t="shared" si="25"/>
        <v>-2.4588904256953592E-3</v>
      </c>
      <c r="I410" s="3">
        <v>45421</v>
      </c>
      <c r="J410" s="1">
        <v>151.506</v>
      </c>
      <c r="K410" s="4">
        <f t="shared" si="26"/>
        <v>-1.8215750694998034E-2</v>
      </c>
      <c r="M410" s="5">
        <v>45421</v>
      </c>
      <c r="N410" s="2">
        <v>22302.5</v>
      </c>
      <c r="O410" s="4">
        <f t="shared" si="27"/>
        <v>0</v>
      </c>
    </row>
    <row r="411" spans="1:15" x14ac:dyDescent="0.25">
      <c r="A411" s="3">
        <v>45420</v>
      </c>
      <c r="B411" s="1">
        <v>382.90699999999998</v>
      </c>
      <c r="C411" s="4">
        <f t="shared" si="24"/>
        <v>8.5019187260817475E-3</v>
      </c>
      <c r="E411" s="3">
        <v>45420</v>
      </c>
      <c r="F411" s="1">
        <v>130.13999999999999</v>
      </c>
      <c r="G411" s="4">
        <f t="shared" si="25"/>
        <v>8.1338600976061937E-3</v>
      </c>
      <c r="I411" s="3">
        <v>45420</v>
      </c>
      <c r="J411" s="1">
        <v>154.31700000000001</v>
      </c>
      <c r="K411" s="4">
        <f t="shared" si="26"/>
        <v>9.2212913731875013E-3</v>
      </c>
      <c r="M411" s="5">
        <v>45420</v>
      </c>
      <c r="N411" s="2">
        <v>22302.5</v>
      </c>
      <c r="O411" s="4">
        <f t="shared" si="27"/>
        <v>-6.2470201891929866E-3</v>
      </c>
    </row>
    <row r="412" spans="1:15" x14ac:dyDescent="0.25">
      <c r="A412" s="3">
        <v>45419</v>
      </c>
      <c r="B412" s="1">
        <v>379.67899999999997</v>
      </c>
      <c r="C412" s="4">
        <f t="shared" si="24"/>
        <v>4.5029194898102975E-3</v>
      </c>
      <c r="E412" s="3">
        <v>45419</v>
      </c>
      <c r="F412" s="1">
        <v>129.09</v>
      </c>
      <c r="G412" s="4">
        <f t="shared" si="25"/>
        <v>-1.3073394495412893E-2</v>
      </c>
      <c r="I412" s="3">
        <v>45419</v>
      </c>
      <c r="J412" s="1">
        <v>152.90700000000001</v>
      </c>
      <c r="K412" s="4">
        <f t="shared" si="26"/>
        <v>-1.0899658455806316E-2</v>
      </c>
      <c r="M412" s="5">
        <v>45419</v>
      </c>
      <c r="N412" s="2">
        <v>22442.7</v>
      </c>
      <c r="O412" s="4">
        <f t="shared" si="27"/>
        <v>-1.4749164102803025E-3</v>
      </c>
    </row>
    <row r="413" spans="1:15" x14ac:dyDescent="0.25">
      <c r="A413" s="3">
        <v>45418</v>
      </c>
      <c r="B413" s="1">
        <v>377.97699999999998</v>
      </c>
      <c r="C413" s="4">
        <f t="shared" si="24"/>
        <v>4.4725666633005368E-3</v>
      </c>
      <c r="E413" s="3">
        <v>45418</v>
      </c>
      <c r="F413" s="1">
        <v>130.80000000000001</v>
      </c>
      <c r="G413" s="4">
        <f t="shared" si="25"/>
        <v>6.1538461538461764E-3</v>
      </c>
      <c r="I413" s="3">
        <v>45418</v>
      </c>
      <c r="J413" s="1">
        <v>154.59200000000001</v>
      </c>
      <c r="K413" s="4">
        <f t="shared" si="26"/>
        <v>-8.0718639717676233E-3</v>
      </c>
      <c r="M413" s="5">
        <v>45418</v>
      </c>
      <c r="N413" s="2">
        <v>22475.85</v>
      </c>
      <c r="O413" s="4">
        <f t="shared" si="27"/>
        <v>-7.6098762815588472E-3</v>
      </c>
    </row>
    <row r="414" spans="1:15" x14ac:dyDescent="0.25">
      <c r="A414" s="3">
        <v>45415</v>
      </c>
      <c r="B414" s="1">
        <v>376.29399999999998</v>
      </c>
      <c r="C414" s="4">
        <f t="shared" si="24"/>
        <v>1.0744196790708482E-2</v>
      </c>
      <c r="E414" s="3">
        <v>45415</v>
      </c>
      <c r="F414" s="1">
        <v>130</v>
      </c>
      <c r="G414" s="4">
        <f t="shared" si="25"/>
        <v>-1.4105869861974929E-2</v>
      </c>
      <c r="I414" s="3">
        <v>45415</v>
      </c>
      <c r="J414" s="1">
        <v>155.85</v>
      </c>
      <c r="K414" s="4">
        <f t="shared" si="26"/>
        <v>-2.8280398228957004E-3</v>
      </c>
      <c r="M414" s="5">
        <v>45415</v>
      </c>
      <c r="N414" s="2">
        <v>22648.2</v>
      </c>
      <c r="O414" s="4">
        <f t="shared" si="27"/>
        <v>1.917730044658672E-3</v>
      </c>
    </row>
    <row r="415" spans="1:15" x14ac:dyDescent="0.25">
      <c r="A415" s="3">
        <v>45414</v>
      </c>
      <c r="B415" s="1">
        <v>372.29399999999998</v>
      </c>
      <c r="C415" s="4">
        <f t="shared" si="24"/>
        <v>3.063034015797772E-4</v>
      </c>
      <c r="E415" s="3">
        <v>45414</v>
      </c>
      <c r="F415" s="1">
        <v>131.86000000000001</v>
      </c>
      <c r="G415" s="4">
        <f t="shared" si="25"/>
        <v>-7.9747216370746887E-3</v>
      </c>
      <c r="I415" s="3">
        <v>45414</v>
      </c>
      <c r="J415" s="1">
        <v>156.292</v>
      </c>
      <c r="K415" s="4">
        <f t="shared" si="26"/>
        <v>3.802183686576921E-3</v>
      </c>
      <c r="M415" s="5">
        <v>45414</v>
      </c>
      <c r="N415" s="2">
        <v>22604.85</v>
      </c>
      <c r="O415" s="4">
        <f t="shared" si="27"/>
        <v>-1.7024828426828176E-3</v>
      </c>
    </row>
    <row r="416" spans="1:15" x14ac:dyDescent="0.25">
      <c r="A416" s="3">
        <v>45412</v>
      </c>
      <c r="B416" s="1">
        <v>372.18</v>
      </c>
      <c r="C416" s="4">
        <f t="shared" si="24"/>
        <v>6.3542708812156512E-3</v>
      </c>
      <c r="E416" s="3">
        <v>45412</v>
      </c>
      <c r="F416" s="1">
        <v>132.91999999999999</v>
      </c>
      <c r="G416" s="4">
        <f t="shared" si="25"/>
        <v>-5.0898203592815161E-3</v>
      </c>
      <c r="I416" s="3">
        <v>45412</v>
      </c>
      <c r="J416" s="1">
        <v>155.69999999999999</v>
      </c>
      <c r="K416" s="4">
        <f t="shared" si="26"/>
        <v>4.7365228501734524E-3</v>
      </c>
      <c r="M416" s="5">
        <v>45412</v>
      </c>
      <c r="N416" s="2">
        <v>22643.4</v>
      </c>
      <c r="O416" s="4">
        <f t="shared" si="27"/>
        <v>9.9665699522077933E-3</v>
      </c>
    </row>
    <row r="417" spans="1:15" x14ac:dyDescent="0.25">
      <c r="A417" s="3">
        <v>45411</v>
      </c>
      <c r="B417" s="1">
        <v>369.83</v>
      </c>
      <c r="C417" s="4">
        <f t="shared" si="24"/>
        <v>-1.8750480900617483E-2</v>
      </c>
      <c r="E417" s="3">
        <v>45411</v>
      </c>
      <c r="F417" s="1">
        <v>133.6</v>
      </c>
      <c r="G417" s="4">
        <f t="shared" si="25"/>
        <v>6.6305003013862329E-3</v>
      </c>
      <c r="I417" s="3">
        <v>45411</v>
      </c>
      <c r="J417" s="1">
        <v>154.96600000000001</v>
      </c>
      <c r="K417" s="4">
        <f t="shared" si="26"/>
        <v>7.6271351752030814E-3</v>
      </c>
      <c r="M417" s="5">
        <v>45411</v>
      </c>
      <c r="N417" s="2">
        <v>22419.95</v>
      </c>
      <c r="O417" s="4">
        <f t="shared" si="27"/>
        <v>-6.6636095585579369E-3</v>
      </c>
    </row>
    <row r="418" spans="1:15" x14ac:dyDescent="0.25">
      <c r="A418" s="3">
        <v>45408</v>
      </c>
      <c r="B418" s="1">
        <v>376.89699999999999</v>
      </c>
      <c r="C418" s="4">
        <f t="shared" si="24"/>
        <v>5.6996325658218439E-3</v>
      </c>
      <c r="E418" s="3">
        <v>45408</v>
      </c>
      <c r="F418" s="1">
        <v>132.72</v>
      </c>
      <c r="G418" s="4">
        <f t="shared" si="25"/>
        <v>2.4926353954226599E-3</v>
      </c>
      <c r="I418" s="3">
        <v>45408</v>
      </c>
      <c r="J418" s="1">
        <v>153.79300000000001</v>
      </c>
      <c r="K418" s="4">
        <f t="shared" si="26"/>
        <v>2.6403630010169987E-3</v>
      </c>
      <c r="M418" s="5">
        <v>45408</v>
      </c>
      <c r="N418" s="2">
        <v>22570.35</v>
      </c>
      <c r="O418" s="4">
        <f t="shared" si="27"/>
        <v>7.496964610934409E-3</v>
      </c>
    </row>
    <row r="419" spans="1:15" x14ac:dyDescent="0.25">
      <c r="A419" s="3">
        <v>45407</v>
      </c>
      <c r="B419" s="1">
        <v>374.76100000000002</v>
      </c>
      <c r="C419" s="4">
        <f t="shared" si="24"/>
        <v>-1.2682605545676018E-2</v>
      </c>
      <c r="E419" s="3">
        <v>45407</v>
      </c>
      <c r="F419" s="1">
        <v>132.38999999999999</v>
      </c>
      <c r="G419" s="4">
        <f t="shared" si="25"/>
        <v>5.9266013220877767E-3</v>
      </c>
      <c r="I419" s="3">
        <v>45407</v>
      </c>
      <c r="J419" s="1">
        <v>153.38800000000001</v>
      </c>
      <c r="K419" s="4">
        <f t="shared" si="26"/>
        <v>9.2046134917658229E-3</v>
      </c>
      <c r="M419" s="5">
        <v>45407</v>
      </c>
      <c r="N419" s="2">
        <v>22402.400000000001</v>
      </c>
      <c r="O419" s="4">
        <f t="shared" si="27"/>
        <v>1.5379113018598733E-3</v>
      </c>
    </row>
    <row r="420" spans="1:15" x14ac:dyDescent="0.25">
      <c r="A420" s="3">
        <v>45406</v>
      </c>
      <c r="B420" s="1">
        <v>379.57499999999999</v>
      </c>
      <c r="C420" s="4">
        <f t="shared" si="24"/>
        <v>-5.4134644862581238E-3</v>
      </c>
      <c r="E420" s="3">
        <v>45406</v>
      </c>
      <c r="F420" s="1">
        <v>131.61000000000001</v>
      </c>
      <c r="G420" s="4">
        <f t="shared" si="25"/>
        <v>4.5610034207532735E-4</v>
      </c>
      <c r="I420" s="3">
        <v>45406</v>
      </c>
      <c r="J420" s="1">
        <v>151.989</v>
      </c>
      <c r="K420" s="4">
        <f t="shared" si="26"/>
        <v>3.9036182776523987E-3</v>
      </c>
      <c r="M420" s="5">
        <v>45406</v>
      </c>
      <c r="N420" s="2">
        <v>22368</v>
      </c>
      <c r="O420" s="4">
        <f t="shared" si="27"/>
        <v>1.4147311115488836E-3</v>
      </c>
    </row>
    <row r="421" spans="1:15" x14ac:dyDescent="0.25">
      <c r="A421" s="3">
        <v>45405</v>
      </c>
      <c r="B421" s="1">
        <v>381.64100000000002</v>
      </c>
      <c r="C421" s="4">
        <f t="shared" si="24"/>
        <v>-4.3515805785933059E-3</v>
      </c>
      <c r="E421" s="3">
        <v>45405</v>
      </c>
      <c r="F421" s="1">
        <v>131.55000000000001</v>
      </c>
      <c r="G421" s="4">
        <f t="shared" si="25"/>
        <v>1.0834485938220562E-2</v>
      </c>
      <c r="I421" s="3">
        <v>45405</v>
      </c>
      <c r="J421" s="1">
        <v>151.398</v>
      </c>
      <c r="K421" s="4">
        <f t="shared" si="26"/>
        <v>3.3036445807010928E-4</v>
      </c>
      <c r="M421" s="5">
        <v>45405</v>
      </c>
      <c r="N421" s="2">
        <v>22336.400000000001</v>
      </c>
      <c r="O421" s="4">
        <f t="shared" si="27"/>
        <v>8.5519483451483858E-3</v>
      </c>
    </row>
    <row r="422" spans="1:15" x14ac:dyDescent="0.25">
      <c r="A422" s="3">
        <v>45404</v>
      </c>
      <c r="B422" s="1">
        <v>383.30900000000003</v>
      </c>
      <c r="C422" s="4">
        <f t="shared" si="24"/>
        <v>4.9103912582977305E-3</v>
      </c>
      <c r="E422" s="3">
        <v>45404</v>
      </c>
      <c r="F422" s="1">
        <v>130.13999999999999</v>
      </c>
      <c r="G422" s="4">
        <f t="shared" si="25"/>
        <v>3.7794060933280527E-3</v>
      </c>
      <c r="I422" s="3">
        <v>45404</v>
      </c>
      <c r="J422" s="1">
        <v>151.34800000000001</v>
      </c>
      <c r="K422" s="4">
        <f t="shared" si="26"/>
        <v>8.0793952109770029E-3</v>
      </c>
      <c r="M422" s="5">
        <v>45404</v>
      </c>
      <c r="N422" s="2">
        <v>22147</v>
      </c>
      <c r="O422" s="4">
        <f t="shared" si="27"/>
        <v>6.8717508075386569E-3</v>
      </c>
    </row>
    <row r="423" spans="1:15" x14ac:dyDescent="0.25">
      <c r="A423" s="3">
        <v>45401</v>
      </c>
      <c r="B423" s="1">
        <v>381.43599999999998</v>
      </c>
      <c r="C423" s="4">
        <f t="shared" si="24"/>
        <v>-3.9571578696340204E-4</v>
      </c>
      <c r="E423" s="3">
        <v>45401</v>
      </c>
      <c r="F423" s="1">
        <v>129.65</v>
      </c>
      <c r="G423" s="4">
        <f t="shared" si="25"/>
        <v>6.4430988976866832E-3</v>
      </c>
      <c r="I423" s="3">
        <v>45401</v>
      </c>
      <c r="J423" s="1">
        <v>150.13499999999999</v>
      </c>
      <c r="K423" s="4">
        <f t="shared" si="26"/>
        <v>1.9353331776168492E-3</v>
      </c>
      <c r="M423" s="5">
        <v>45401</v>
      </c>
      <c r="N423" s="2">
        <v>21995.85</v>
      </c>
      <c r="O423" s="4">
        <f t="shared" si="27"/>
        <v>-6.8652106971768267E-3</v>
      </c>
    </row>
    <row r="424" spans="1:15" x14ac:dyDescent="0.25">
      <c r="A424" s="3">
        <v>45400</v>
      </c>
      <c r="B424" s="1">
        <v>381.58699999999999</v>
      </c>
      <c r="C424" s="4">
        <f t="shared" si="24"/>
        <v>5.6848430540548112E-3</v>
      </c>
      <c r="E424" s="3">
        <v>45400</v>
      </c>
      <c r="F424" s="1">
        <v>128.82</v>
      </c>
      <c r="G424" s="4">
        <f t="shared" si="25"/>
        <v>9.7985419769537341E-3</v>
      </c>
      <c r="I424" s="3">
        <v>45400</v>
      </c>
      <c r="J424" s="1">
        <v>149.845</v>
      </c>
      <c r="K424" s="4">
        <f t="shared" si="26"/>
        <v>-5.1387939104627911E-3</v>
      </c>
      <c r="M424" s="5">
        <v>45400</v>
      </c>
      <c r="N424" s="2">
        <v>22147.9</v>
      </c>
      <c r="O424" s="4">
        <f t="shared" si="27"/>
        <v>-5.5943427994162853E-3</v>
      </c>
    </row>
    <row r="425" spans="1:15" x14ac:dyDescent="0.25">
      <c r="A425" s="3">
        <v>45398</v>
      </c>
      <c r="B425" s="1">
        <v>379.43</v>
      </c>
      <c r="C425" s="4">
        <f t="shared" si="24"/>
        <v>1.0262742025268778E-3</v>
      </c>
      <c r="E425" s="3">
        <v>45398</v>
      </c>
      <c r="F425" s="1">
        <v>127.57</v>
      </c>
      <c r="G425" s="4">
        <f t="shared" si="25"/>
        <v>2.5147347740668291E-3</v>
      </c>
      <c r="I425" s="3">
        <v>45398</v>
      </c>
      <c r="J425" s="1">
        <v>150.619</v>
      </c>
      <c r="K425" s="4">
        <f t="shared" si="26"/>
        <v>4.6496489515046591E-4</v>
      </c>
      <c r="M425" s="5">
        <v>45398</v>
      </c>
      <c r="N425" s="2">
        <v>22272.5</v>
      </c>
      <c r="O425" s="4">
        <f t="shared" si="27"/>
        <v>-1.0963880032327733E-2</v>
      </c>
    </row>
    <row r="426" spans="1:15" x14ac:dyDescent="0.25">
      <c r="A426" s="3">
        <v>45397</v>
      </c>
      <c r="B426" s="1">
        <v>379.041</v>
      </c>
      <c r="C426" s="4">
        <f t="shared" si="24"/>
        <v>4.4918986818462958E-3</v>
      </c>
      <c r="E426" s="3">
        <v>45397</v>
      </c>
      <c r="F426" s="1">
        <v>127.25</v>
      </c>
      <c r="G426" s="4">
        <f t="shared" si="25"/>
        <v>-5.6263186684378796E-3</v>
      </c>
      <c r="I426" s="3">
        <v>45397</v>
      </c>
      <c r="J426" s="1">
        <v>150.54900000000001</v>
      </c>
      <c r="K426" s="4">
        <f t="shared" si="26"/>
        <v>-1.0223268290117327E-2</v>
      </c>
      <c r="M426" s="5">
        <v>45397</v>
      </c>
      <c r="N426" s="2">
        <v>22519.4</v>
      </c>
      <c r="O426" s="4">
        <f t="shared" si="27"/>
        <v>-1.0301576000492085E-2</v>
      </c>
    </row>
    <row r="427" spans="1:15" x14ac:dyDescent="0.25">
      <c r="A427" s="3">
        <v>45394</v>
      </c>
      <c r="B427" s="1">
        <v>377.346</v>
      </c>
      <c r="C427" s="4">
        <f t="shared" si="24"/>
        <v>5.2293257819346906E-3</v>
      </c>
      <c r="E427" s="3">
        <v>45394</v>
      </c>
      <c r="F427" s="1">
        <v>127.97</v>
      </c>
      <c r="G427" s="4">
        <f t="shared" si="25"/>
        <v>-5.1309958796548205E-3</v>
      </c>
      <c r="I427" s="3">
        <v>45394</v>
      </c>
      <c r="J427" s="1">
        <v>152.10400000000001</v>
      </c>
      <c r="K427" s="4">
        <f t="shared" si="26"/>
        <v>-8.6617611595939392E-3</v>
      </c>
      <c r="M427" s="5">
        <v>45394</v>
      </c>
      <c r="N427" s="2">
        <v>22753.8</v>
      </c>
      <c r="O427" s="4">
        <f t="shared" si="27"/>
        <v>4.904439610913025E-3</v>
      </c>
    </row>
    <row r="428" spans="1:15" x14ac:dyDescent="0.25">
      <c r="A428" s="3">
        <v>45392</v>
      </c>
      <c r="B428" s="1">
        <v>375.38299999999998</v>
      </c>
      <c r="C428" s="4">
        <f t="shared" si="24"/>
        <v>4.6622292521429909E-3</v>
      </c>
      <c r="E428" s="3">
        <v>45392</v>
      </c>
      <c r="F428" s="1">
        <v>128.63</v>
      </c>
      <c r="G428" s="4">
        <f t="shared" si="25"/>
        <v>-1.1830682953061333E-2</v>
      </c>
      <c r="I428" s="3">
        <v>45392</v>
      </c>
      <c r="J428" s="1">
        <v>153.43299999999999</v>
      </c>
      <c r="K428" s="4">
        <f t="shared" si="26"/>
        <v>6.6923425167142447E-3</v>
      </c>
      <c r="M428" s="5">
        <v>45392</v>
      </c>
      <c r="N428" s="2">
        <v>22642.75</v>
      </c>
      <c r="O428" s="4">
        <f t="shared" si="27"/>
        <v>-1.0389873953843276E-3</v>
      </c>
    </row>
    <row r="429" spans="1:15" x14ac:dyDescent="0.25">
      <c r="A429" s="3">
        <v>45391</v>
      </c>
      <c r="B429" s="1">
        <v>373.64100000000002</v>
      </c>
      <c r="C429" s="4">
        <f t="shared" si="24"/>
        <v>6.7495473357475078E-3</v>
      </c>
      <c r="E429" s="3">
        <v>45391</v>
      </c>
      <c r="F429" s="1">
        <v>130.16999999999999</v>
      </c>
      <c r="G429" s="4">
        <f t="shared" si="25"/>
        <v>-7.018079182241288E-3</v>
      </c>
      <c r="I429" s="3">
        <v>45391</v>
      </c>
      <c r="J429" s="1">
        <v>152.41300000000001</v>
      </c>
      <c r="K429" s="4">
        <f t="shared" si="26"/>
        <v>-1.8860387292812808E-3</v>
      </c>
      <c r="M429" s="5">
        <v>45391</v>
      </c>
      <c r="N429" s="2">
        <v>22666.3</v>
      </c>
      <c r="O429" s="4">
        <f t="shared" si="27"/>
        <v>6.7780951154186031E-3</v>
      </c>
    </row>
    <row r="430" spans="1:15" x14ac:dyDescent="0.25">
      <c r="A430" s="3">
        <v>45390</v>
      </c>
      <c r="B430" s="1">
        <v>371.13600000000002</v>
      </c>
      <c r="C430" s="4">
        <f t="shared" si="24"/>
        <v>7.3881929127272983E-4</v>
      </c>
      <c r="E430" s="3">
        <v>45390</v>
      </c>
      <c r="F430" s="1">
        <v>131.09</v>
      </c>
      <c r="G430" s="4">
        <f t="shared" si="25"/>
        <v>5.445620493940817E-3</v>
      </c>
      <c r="I430" s="3">
        <v>45390</v>
      </c>
      <c r="J430" s="1">
        <v>152.70099999999999</v>
      </c>
      <c r="K430" s="4">
        <f t="shared" si="26"/>
        <v>8.7330475164983934E-3</v>
      </c>
      <c r="M430" s="5">
        <v>45390</v>
      </c>
      <c r="N430" s="2">
        <v>22513.7</v>
      </c>
      <c r="O430" s="4">
        <f t="shared" si="27"/>
        <v>-4.2194748752555356E-5</v>
      </c>
    </row>
    <row r="431" spans="1:15" x14ac:dyDescent="0.25">
      <c r="A431" s="3">
        <v>45387</v>
      </c>
      <c r="B431" s="1">
        <v>370.86200000000002</v>
      </c>
      <c r="C431" s="4">
        <f t="shared" si="24"/>
        <v>-4.1192708836829128E-3</v>
      </c>
      <c r="E431" s="3">
        <v>45387</v>
      </c>
      <c r="F431" s="1">
        <v>130.38</v>
      </c>
      <c r="G431" s="4">
        <f t="shared" si="25"/>
        <v>2.2292259205165532E-3</v>
      </c>
      <c r="I431" s="3">
        <v>45387</v>
      </c>
      <c r="J431" s="1">
        <v>151.37899999999999</v>
      </c>
      <c r="K431" s="4">
        <f t="shared" si="26"/>
        <v>4.625635444180487E-3</v>
      </c>
      <c r="M431" s="5">
        <v>45387</v>
      </c>
      <c r="N431" s="2">
        <v>22514.65</v>
      </c>
      <c r="O431" s="4">
        <f t="shared" si="27"/>
        <v>3.5659125504521327E-3</v>
      </c>
    </row>
    <row r="432" spans="1:15" x14ac:dyDescent="0.25">
      <c r="A432" s="3">
        <v>45386</v>
      </c>
      <c r="B432" s="1">
        <v>372.39600000000002</v>
      </c>
      <c r="C432" s="4">
        <f t="shared" si="24"/>
        <v>-1.2631849962587705E-3</v>
      </c>
      <c r="E432" s="3">
        <v>45386</v>
      </c>
      <c r="F432" s="1">
        <v>130.09</v>
      </c>
      <c r="G432" s="4">
        <f t="shared" si="25"/>
        <v>5.4877106198794046E-3</v>
      </c>
      <c r="I432" s="3">
        <v>45386</v>
      </c>
      <c r="J432" s="1">
        <v>150.68199999999999</v>
      </c>
      <c r="K432" s="4">
        <f t="shared" si="26"/>
        <v>-7.6924097136576997E-4</v>
      </c>
      <c r="M432" s="5">
        <v>45386</v>
      </c>
      <c r="N432" s="2">
        <v>22434.65</v>
      </c>
      <c r="O432" s="4">
        <f t="shared" si="27"/>
        <v>-8.306128720498851E-4</v>
      </c>
    </row>
    <row r="433" spans="1:15" x14ac:dyDescent="0.25">
      <c r="A433" s="3">
        <v>45385</v>
      </c>
      <c r="B433" s="1">
        <v>372.86700000000002</v>
      </c>
      <c r="C433" s="4">
        <f t="shared" si="24"/>
        <v>-7.2446404038467582E-3</v>
      </c>
      <c r="E433" s="3">
        <v>45385</v>
      </c>
      <c r="F433" s="1">
        <v>129.38</v>
      </c>
      <c r="G433" s="4">
        <f t="shared" si="25"/>
        <v>3.4902660358333559E-3</v>
      </c>
      <c r="I433" s="3">
        <v>45385</v>
      </c>
      <c r="J433" s="1">
        <v>150.798</v>
      </c>
      <c r="K433" s="4">
        <f t="shared" si="26"/>
        <v>1.1551943913321594E-3</v>
      </c>
      <c r="M433" s="5">
        <v>45385</v>
      </c>
      <c r="N433" s="2">
        <v>22453.3</v>
      </c>
      <c r="O433" s="4">
        <f t="shared" si="27"/>
        <v>-3.8732080847658779E-4</v>
      </c>
    </row>
    <row r="434" spans="1:15" x14ac:dyDescent="0.25">
      <c r="A434" s="3">
        <v>45384</v>
      </c>
      <c r="B434" s="1">
        <v>375.58800000000002</v>
      </c>
      <c r="C434" s="4">
        <f t="shared" si="24"/>
        <v>-4.0993386965906264E-3</v>
      </c>
      <c r="E434" s="3">
        <v>45384</v>
      </c>
      <c r="F434" s="1">
        <v>128.93</v>
      </c>
      <c r="G434" s="4">
        <f t="shared" si="25"/>
        <v>4.2059350416701058E-3</v>
      </c>
      <c r="I434" s="3">
        <v>45384</v>
      </c>
      <c r="J434" s="1">
        <v>150.624</v>
      </c>
      <c r="K434" s="4">
        <f t="shared" si="26"/>
        <v>3.1568431568431699E-3</v>
      </c>
      <c r="M434" s="5">
        <v>45384</v>
      </c>
      <c r="N434" s="2">
        <v>22462</v>
      </c>
      <c r="O434" s="4">
        <f t="shared" si="27"/>
        <v>6.0509967796693598E-3</v>
      </c>
    </row>
    <row r="435" spans="1:15" x14ac:dyDescent="0.25">
      <c r="A435" s="3">
        <v>45383</v>
      </c>
      <c r="B435" s="1">
        <v>377.13400000000001</v>
      </c>
      <c r="C435" s="4">
        <f t="shared" si="24"/>
        <v>5.1010074089867796E-3</v>
      </c>
      <c r="E435" s="3">
        <v>45383</v>
      </c>
      <c r="F435" s="1">
        <v>128.38999999999999</v>
      </c>
      <c r="G435" s="4">
        <f t="shared" si="25"/>
        <v>3.9096098209396857E-3</v>
      </c>
      <c r="I435" s="3">
        <v>45383</v>
      </c>
      <c r="J435" s="1">
        <v>150.15</v>
      </c>
      <c r="K435" s="4">
        <f t="shared" si="26"/>
        <v>1.2358664212463788E-2</v>
      </c>
      <c r="M435" s="5">
        <v>45383</v>
      </c>
      <c r="N435" s="2">
        <v>22326.9</v>
      </c>
      <c r="O435" s="4">
        <f t="shared" si="27"/>
        <v>9.1870012407537782E-3</v>
      </c>
    </row>
    <row r="436" spans="1:15" x14ac:dyDescent="0.25">
      <c r="A436" s="3">
        <v>45379</v>
      </c>
      <c r="B436" s="1">
        <v>375.22</v>
      </c>
      <c r="C436" s="4">
        <f t="shared" si="24"/>
        <v>-7.776049766717863E-4</v>
      </c>
      <c r="E436" s="3">
        <v>45379</v>
      </c>
      <c r="F436" s="1">
        <v>127.89</v>
      </c>
      <c r="G436" s="4">
        <f t="shared" si="25"/>
        <v>4.6347211311861258E-3</v>
      </c>
      <c r="I436" s="3">
        <v>45379</v>
      </c>
      <c r="J436" s="1">
        <v>148.31700000000001</v>
      </c>
      <c r="K436" s="4">
        <f t="shared" si="26"/>
        <v>9.8041218162134847E-3</v>
      </c>
      <c r="M436" s="5">
        <v>45379</v>
      </c>
      <c r="N436" s="2">
        <v>22123.65</v>
      </c>
      <c r="O436" s="4">
        <f t="shared" si="27"/>
        <v>5.4056633355601402E-3</v>
      </c>
    </row>
    <row r="437" spans="1:15" x14ac:dyDescent="0.25">
      <c r="A437" s="3">
        <v>45378</v>
      </c>
      <c r="B437" s="1">
        <v>375.512</v>
      </c>
      <c r="C437" s="4">
        <f t="shared" si="24"/>
        <v>1.0410528383421713E-2</v>
      </c>
      <c r="E437" s="3">
        <v>45378</v>
      </c>
      <c r="F437" s="1">
        <v>127.3</v>
      </c>
      <c r="G437" s="4">
        <f t="shared" si="25"/>
        <v>1.4100215088026724E-2</v>
      </c>
      <c r="I437" s="3">
        <v>45378</v>
      </c>
      <c r="J437" s="1">
        <v>146.87700000000001</v>
      </c>
      <c r="K437" s="4">
        <f t="shared" si="26"/>
        <v>1.889495225102511E-3</v>
      </c>
      <c r="M437" s="5">
        <v>45378</v>
      </c>
      <c r="N437" s="2">
        <v>22004.7</v>
      </c>
      <c r="O437" s="4">
        <f t="shared" si="27"/>
        <v>-4.1657709844207247E-3</v>
      </c>
    </row>
    <row r="438" spans="1:15" x14ac:dyDescent="0.25">
      <c r="A438" s="3">
        <v>45377</v>
      </c>
      <c r="B438" s="1">
        <v>371.64299999999997</v>
      </c>
      <c r="C438" s="4">
        <f t="shared" si="24"/>
        <v>2.6276813005672306E-3</v>
      </c>
      <c r="E438" s="3">
        <v>45377</v>
      </c>
      <c r="F438" s="1">
        <v>125.53</v>
      </c>
      <c r="G438" s="4">
        <f t="shared" si="25"/>
        <v>-7.9655886570106915E-5</v>
      </c>
      <c r="I438" s="3">
        <v>45377</v>
      </c>
      <c r="J438" s="1">
        <v>146.6</v>
      </c>
      <c r="K438" s="4">
        <f t="shared" si="26"/>
        <v>2.5234047500188872E-3</v>
      </c>
      <c r="M438" s="5">
        <v>45377</v>
      </c>
      <c r="N438" s="2">
        <v>22096.75</v>
      </c>
      <c r="O438" s="4">
        <f t="shared" si="27"/>
        <v>3.8524528721899376E-3</v>
      </c>
    </row>
    <row r="439" spans="1:15" x14ac:dyDescent="0.25">
      <c r="A439" s="3">
        <v>45373</v>
      </c>
      <c r="B439" s="1">
        <v>370.66899999999998</v>
      </c>
      <c r="C439" s="4">
        <f t="shared" si="24"/>
        <v>8.3639562052484351E-5</v>
      </c>
      <c r="E439" s="3">
        <v>45373</v>
      </c>
      <c r="F439" s="1">
        <v>125.54</v>
      </c>
      <c r="G439" s="4">
        <f t="shared" si="25"/>
        <v>1.0951844097278229E-2</v>
      </c>
      <c r="I439" s="3">
        <v>45373</v>
      </c>
      <c r="J439" s="1">
        <v>146.23099999999999</v>
      </c>
      <c r="K439" s="4">
        <f t="shared" si="26"/>
        <v>5.8397875940625621E-3</v>
      </c>
      <c r="M439" s="5">
        <v>45373</v>
      </c>
      <c r="N439" s="2">
        <v>22011.95</v>
      </c>
      <c r="O439" s="4">
        <f t="shared" si="27"/>
        <v>7.9147034447391018E-3</v>
      </c>
    </row>
    <row r="440" spans="1:15" x14ac:dyDescent="0.25">
      <c r="A440" s="3">
        <v>45372</v>
      </c>
      <c r="B440" s="1">
        <v>370.63799999999998</v>
      </c>
      <c r="C440" s="4">
        <f t="shared" si="24"/>
        <v>5.9083593650344213E-3</v>
      </c>
      <c r="E440" s="3">
        <v>45372</v>
      </c>
      <c r="F440" s="1">
        <v>124.18</v>
      </c>
      <c r="G440" s="4">
        <f t="shared" si="25"/>
        <v>1.2093848262517692E-3</v>
      </c>
      <c r="I440" s="3">
        <v>45372</v>
      </c>
      <c r="J440" s="1">
        <v>145.38200000000001</v>
      </c>
      <c r="K440" s="4">
        <f t="shared" si="26"/>
        <v>1.3906324099645762E-2</v>
      </c>
      <c r="M440" s="5">
        <v>45372</v>
      </c>
      <c r="N440" s="2">
        <v>21839.1</v>
      </c>
      <c r="O440" s="4">
        <f t="shared" si="27"/>
        <v>9.9232495089940365E-4</v>
      </c>
    </row>
    <row r="441" spans="1:15" x14ac:dyDescent="0.25">
      <c r="A441" s="3">
        <v>45371</v>
      </c>
      <c r="B441" s="1">
        <v>368.46100000000001</v>
      </c>
      <c r="C441" s="4">
        <f t="shared" si="24"/>
        <v>7.5774563154584751E-3</v>
      </c>
      <c r="E441" s="3">
        <v>45371</v>
      </c>
      <c r="F441" s="1">
        <v>124.03</v>
      </c>
      <c r="G441" s="4">
        <f t="shared" si="25"/>
        <v>5.3497608818999787E-3</v>
      </c>
      <c r="I441" s="3">
        <v>45371</v>
      </c>
      <c r="J441" s="1">
        <v>143.38800000000001</v>
      </c>
      <c r="K441" s="4">
        <f t="shared" si="26"/>
        <v>3.3447624378979413E-3</v>
      </c>
      <c r="M441" s="5">
        <v>45371</v>
      </c>
      <c r="N441" s="2">
        <v>21817.45</v>
      </c>
      <c r="O441" s="4">
        <f t="shared" si="27"/>
        <v>-1.0802196257656771E-2</v>
      </c>
    </row>
    <row r="442" spans="1:15" x14ac:dyDescent="0.25">
      <c r="A442" s="3">
        <v>45370</v>
      </c>
      <c r="B442" s="1">
        <v>365.69</v>
      </c>
      <c r="C442" s="4">
        <f t="shared" si="24"/>
        <v>1.1615780199230485E-2</v>
      </c>
      <c r="E442" s="3">
        <v>45370</v>
      </c>
      <c r="F442" s="1">
        <v>123.37</v>
      </c>
      <c r="G442" s="4">
        <f t="shared" si="25"/>
        <v>4.4780980296370565E-3</v>
      </c>
      <c r="I442" s="3">
        <v>45370</v>
      </c>
      <c r="J442" s="1">
        <v>142.91</v>
      </c>
      <c r="K442" s="4">
        <f t="shared" si="26"/>
        <v>-1.2929784089182439E-2</v>
      </c>
      <c r="M442" s="5">
        <v>45370</v>
      </c>
      <c r="N442" s="2">
        <v>22055.7</v>
      </c>
      <c r="O442" s="4">
        <f t="shared" si="27"/>
        <v>1.4688955131714199E-3</v>
      </c>
    </row>
    <row r="443" spans="1:15" x14ac:dyDescent="0.25">
      <c r="A443" s="3">
        <v>45369</v>
      </c>
      <c r="B443" s="1">
        <v>361.49099999999999</v>
      </c>
      <c r="C443" s="4">
        <f t="shared" si="24"/>
        <v>4.4263088733620393E-5</v>
      </c>
      <c r="E443" s="3">
        <v>45369</v>
      </c>
      <c r="F443" s="1">
        <v>122.82</v>
      </c>
      <c r="G443" s="4">
        <f t="shared" si="25"/>
        <v>1.8745852687458431E-2</v>
      </c>
      <c r="I443" s="3">
        <v>45369</v>
      </c>
      <c r="J443" s="1">
        <v>144.78200000000001</v>
      </c>
      <c r="K443" s="4">
        <f t="shared" si="26"/>
        <v>1.6673469811334662E-3</v>
      </c>
      <c r="M443" s="5">
        <v>45369</v>
      </c>
      <c r="N443" s="2">
        <v>22023.35</v>
      </c>
      <c r="O443" s="4">
        <f t="shared" si="27"/>
        <v>-5.5674334493028832E-3</v>
      </c>
    </row>
    <row r="444" spans="1:15" x14ac:dyDescent="0.25">
      <c r="A444" s="3">
        <v>45366</v>
      </c>
      <c r="B444" s="1">
        <v>361.47500000000002</v>
      </c>
      <c r="C444" s="4">
        <f t="shared" si="24"/>
        <v>5.4629760980888786E-3</v>
      </c>
      <c r="E444" s="3">
        <v>45366</v>
      </c>
      <c r="F444" s="1">
        <v>120.56</v>
      </c>
      <c r="G444" s="4">
        <f t="shared" si="25"/>
        <v>8.3015108749795452E-4</v>
      </c>
      <c r="I444" s="3">
        <v>45366</v>
      </c>
      <c r="J444" s="1">
        <v>144.541</v>
      </c>
      <c r="K444" s="4">
        <f t="shared" si="26"/>
        <v>-7.0619431334967286E-3</v>
      </c>
      <c r="M444" s="5">
        <v>45366</v>
      </c>
      <c r="N444" s="2">
        <v>22146.65</v>
      </c>
      <c r="O444" s="4">
        <f t="shared" si="27"/>
        <v>6.7711624397095438E-3</v>
      </c>
    </row>
    <row r="445" spans="1:15" x14ac:dyDescent="0.25">
      <c r="A445" s="3">
        <v>45365</v>
      </c>
      <c r="B445" s="1">
        <v>359.51100000000002</v>
      </c>
      <c r="C445" s="4">
        <f t="shared" si="24"/>
        <v>3.6039305454749204E-3</v>
      </c>
      <c r="E445" s="3">
        <v>45365</v>
      </c>
      <c r="F445" s="1">
        <v>120.46</v>
      </c>
      <c r="G445" s="4">
        <f t="shared" si="25"/>
        <v>-1.1082833921681412E-2</v>
      </c>
      <c r="I445" s="3">
        <v>45365</v>
      </c>
      <c r="J445" s="1">
        <v>145.56899999999999</v>
      </c>
      <c r="K445" s="4">
        <f t="shared" si="26"/>
        <v>1.3119066841123406E-2</v>
      </c>
      <c r="M445" s="5">
        <v>45365</v>
      </c>
      <c r="N445" s="2">
        <v>21997.7</v>
      </c>
      <c r="O445" s="4">
        <f t="shared" si="27"/>
        <v>-1.5132724741109493E-2</v>
      </c>
    </row>
    <row r="446" spans="1:15" x14ac:dyDescent="0.25">
      <c r="A446" s="3">
        <v>45364</v>
      </c>
      <c r="B446" s="1">
        <v>358.22</v>
      </c>
      <c r="C446" s="4">
        <f t="shared" si="24"/>
        <v>3.2262762274974932E-3</v>
      </c>
      <c r="E446" s="3">
        <v>45364</v>
      </c>
      <c r="F446" s="1">
        <v>121.81</v>
      </c>
      <c r="G446" s="4">
        <f t="shared" si="25"/>
        <v>1.5622430521295971E-3</v>
      </c>
      <c r="I446" s="3">
        <v>45364</v>
      </c>
      <c r="J446" s="1">
        <v>143.684</v>
      </c>
      <c r="K446" s="4">
        <f t="shared" si="26"/>
        <v>-2.8702764821199267E-2</v>
      </c>
      <c r="M446" s="5">
        <v>45364</v>
      </c>
      <c r="N446" s="2">
        <v>22335.7</v>
      </c>
      <c r="O446" s="4">
        <f t="shared" si="27"/>
        <v>1.3657134285449679E-4</v>
      </c>
    </row>
    <row r="447" spans="1:15" x14ac:dyDescent="0.25">
      <c r="A447" s="3">
        <v>45363</v>
      </c>
      <c r="B447" s="1">
        <v>357.06799999999998</v>
      </c>
      <c r="C447" s="4">
        <f t="shared" si="24"/>
        <v>4.0802323848407873E-3</v>
      </c>
      <c r="E447" s="3">
        <v>45363</v>
      </c>
      <c r="F447" s="1">
        <v>121.62</v>
      </c>
      <c r="G447" s="4">
        <f t="shared" si="25"/>
        <v>-8.0743821874235122E-3</v>
      </c>
      <c r="I447" s="3">
        <v>45363</v>
      </c>
      <c r="J447" s="1">
        <v>147.93</v>
      </c>
      <c r="K447" s="4">
        <f t="shared" si="26"/>
        <v>-8.5984465160541257E-3</v>
      </c>
      <c r="M447" s="5">
        <v>45363</v>
      </c>
      <c r="N447" s="2">
        <v>22332.65</v>
      </c>
      <c r="O447" s="4">
        <f t="shared" si="27"/>
        <v>-7.1531616841271628E-3</v>
      </c>
    </row>
    <row r="448" spans="1:15" x14ac:dyDescent="0.25">
      <c r="A448" s="3">
        <v>45362</v>
      </c>
      <c r="B448" s="1">
        <v>355.61700000000002</v>
      </c>
      <c r="C448" s="4">
        <f t="shared" si="24"/>
        <v>1.1439298056001856E-2</v>
      </c>
      <c r="E448" s="3">
        <v>45362</v>
      </c>
      <c r="F448" s="1">
        <v>122.61</v>
      </c>
      <c r="G448" s="4">
        <f t="shared" si="25"/>
        <v>1.2970918704560352E-2</v>
      </c>
      <c r="I448" s="3">
        <v>45362</v>
      </c>
      <c r="J448" s="1">
        <v>149.21299999999999</v>
      </c>
      <c r="K448" s="4">
        <f t="shared" si="26"/>
        <v>-5.5251196331694841E-3</v>
      </c>
      <c r="M448" s="5">
        <v>45362</v>
      </c>
      <c r="N448" s="2">
        <v>22493.55</v>
      </c>
      <c r="O448" s="4">
        <f t="shared" si="27"/>
        <v>8.6766737637411495E-4</v>
      </c>
    </row>
    <row r="449" spans="1:15" x14ac:dyDescent="0.25">
      <c r="A449" s="3">
        <v>45358</v>
      </c>
      <c r="B449" s="1">
        <v>351.59500000000003</v>
      </c>
      <c r="C449" s="4">
        <f t="shared" si="24"/>
        <v>-5.543079678217433E-4</v>
      </c>
      <c r="E449" s="3">
        <v>45358</v>
      </c>
      <c r="F449" s="1">
        <v>121.04</v>
      </c>
      <c r="G449" s="4">
        <f t="shared" si="25"/>
        <v>-3.0749519538757153E-2</v>
      </c>
      <c r="I449" s="3">
        <v>45358</v>
      </c>
      <c r="J449" s="1">
        <v>150.042</v>
      </c>
      <c r="K449" s="4">
        <f t="shared" si="26"/>
        <v>3.8805850316470103E-3</v>
      </c>
      <c r="M449" s="5">
        <v>45358</v>
      </c>
      <c r="N449" s="2">
        <v>22474.05</v>
      </c>
      <c r="O449" s="4">
        <f t="shared" si="27"/>
        <v>5.2669717260906967E-3</v>
      </c>
    </row>
    <row r="450" spans="1:15" x14ac:dyDescent="0.25">
      <c r="A450" s="3">
        <v>45357</v>
      </c>
      <c r="B450" s="1">
        <v>351.79</v>
      </c>
      <c r="C450" s="4">
        <f t="shared" si="24"/>
        <v>-6.9190184083716133E-3</v>
      </c>
      <c r="E450" s="3">
        <v>45357</v>
      </c>
      <c r="F450" s="1">
        <v>124.88</v>
      </c>
      <c r="G450" s="4">
        <f t="shared" si="25"/>
        <v>-7.7075883988875216E-3</v>
      </c>
      <c r="I450" s="3">
        <v>45357</v>
      </c>
      <c r="J450" s="1">
        <v>149.46199999999999</v>
      </c>
      <c r="K450" s="4">
        <f t="shared" si="26"/>
        <v>-2.5160338763606793E-3</v>
      </c>
      <c r="M450" s="5">
        <v>45357</v>
      </c>
      <c r="N450" s="2">
        <v>22356.3</v>
      </c>
      <c r="O450" s="4">
        <f t="shared" si="27"/>
        <v>-2.2003427714499812E-3</v>
      </c>
    </row>
    <row r="451" spans="1:15" x14ac:dyDescent="0.25">
      <c r="A451" s="3">
        <v>45356</v>
      </c>
      <c r="B451" s="1">
        <v>354.24099999999999</v>
      </c>
      <c r="C451" s="4">
        <f t="shared" ref="C451:C514" si="28">(B451/B452)-1</f>
        <v>2.6861632870260888E-3</v>
      </c>
      <c r="E451" s="3">
        <v>45356</v>
      </c>
      <c r="F451" s="1">
        <v>125.85</v>
      </c>
      <c r="G451" s="4">
        <f t="shared" ref="G451:G514" si="29">(F451/F452)-1</f>
        <v>-8.117906683480447E-3</v>
      </c>
      <c r="I451" s="3">
        <v>45356</v>
      </c>
      <c r="J451" s="1">
        <v>149.839</v>
      </c>
      <c r="K451" s="4">
        <f t="shared" ref="K451:K514" si="30">(J451/J452)-1</f>
        <v>1.2964014835108451E-3</v>
      </c>
      <c r="M451" s="5">
        <v>45356</v>
      </c>
      <c r="N451" s="2">
        <v>22405.599999999999</v>
      </c>
      <c r="O451" s="4">
        <f t="shared" ref="O451:O514" si="31">(N451/N452)-1</f>
        <v>2.9925577751663823E-3</v>
      </c>
    </row>
    <row r="452" spans="1:15" x14ac:dyDescent="0.25">
      <c r="A452" s="3">
        <v>45355</v>
      </c>
      <c r="B452" s="1">
        <v>353.29199999999997</v>
      </c>
      <c r="C452" s="4">
        <f t="shared" si="28"/>
        <v>-6.577041933914618E-3</v>
      </c>
      <c r="E452" s="3">
        <v>45355</v>
      </c>
      <c r="F452" s="1">
        <v>126.88</v>
      </c>
      <c r="G452" s="4">
        <f t="shared" si="29"/>
        <v>2.4492375760449825E-3</v>
      </c>
      <c r="I452" s="3">
        <v>45355</v>
      </c>
      <c r="J452" s="1">
        <v>149.64500000000001</v>
      </c>
      <c r="K452" s="4">
        <f t="shared" si="30"/>
        <v>6.7409834300977689E-3</v>
      </c>
      <c r="M452" s="5">
        <v>45355</v>
      </c>
      <c r="N452" s="2">
        <v>22338.75</v>
      </c>
      <c r="O452" s="4">
        <f t="shared" si="31"/>
        <v>1.6192204814673428E-2</v>
      </c>
    </row>
    <row r="453" spans="1:15" x14ac:dyDescent="0.25">
      <c r="A453" s="3">
        <v>45352</v>
      </c>
      <c r="B453" s="1">
        <v>355.63099999999997</v>
      </c>
      <c r="C453" s="4">
        <f t="shared" si="28"/>
        <v>1.2628275948473044E-2</v>
      </c>
      <c r="E453" s="3">
        <v>45352</v>
      </c>
      <c r="F453" s="1">
        <v>126.57</v>
      </c>
      <c r="G453" s="4">
        <f t="shared" si="29"/>
        <v>-1.5776603297310565E-3</v>
      </c>
      <c r="I453" s="3">
        <v>45352</v>
      </c>
      <c r="J453" s="1">
        <v>148.643</v>
      </c>
      <c r="K453" s="4">
        <f t="shared" si="30"/>
        <v>1.1066822658758246E-2</v>
      </c>
      <c r="M453" s="5">
        <v>45352</v>
      </c>
      <c r="N453" s="2">
        <v>21982.799999999999</v>
      </c>
      <c r="O453" s="4">
        <f t="shared" si="31"/>
        <v>1.4418378991531977E-3</v>
      </c>
    </row>
    <row r="454" spans="1:15" x14ac:dyDescent="0.25">
      <c r="A454" s="3">
        <v>45351</v>
      </c>
      <c r="B454" s="1">
        <v>351.19600000000003</v>
      </c>
      <c r="C454" s="4">
        <f t="shared" si="28"/>
        <v>-2.8457769798303056E-2</v>
      </c>
      <c r="E454" s="3">
        <v>45351</v>
      </c>
      <c r="F454" s="1">
        <v>126.77</v>
      </c>
      <c r="G454" s="4">
        <f t="shared" si="29"/>
        <v>-7.882084023016489E-4</v>
      </c>
      <c r="I454" s="3">
        <v>45351</v>
      </c>
      <c r="J454" s="1">
        <v>147.01599999999999</v>
      </c>
      <c r="K454" s="4">
        <f t="shared" si="30"/>
        <v>5.925419089976014E-3</v>
      </c>
      <c r="M454" s="5">
        <v>45351</v>
      </c>
      <c r="N454" s="2">
        <v>21951.15</v>
      </c>
      <c r="O454" s="4">
        <f t="shared" si="31"/>
        <v>-1.1135962808046407E-2</v>
      </c>
    </row>
    <row r="455" spans="1:15" x14ac:dyDescent="0.25">
      <c r="A455" s="3">
        <v>45350</v>
      </c>
      <c r="B455" s="1">
        <v>361.483</v>
      </c>
      <c r="C455" s="4">
        <f t="shared" si="28"/>
        <v>-8.4131120559594041E-3</v>
      </c>
      <c r="E455" s="3">
        <v>45350</v>
      </c>
      <c r="F455" s="1">
        <v>126.87</v>
      </c>
      <c r="G455" s="4">
        <f t="shared" si="29"/>
        <v>4.195029286053531E-3</v>
      </c>
      <c r="I455" s="3">
        <v>45350</v>
      </c>
      <c r="J455" s="1">
        <v>146.15</v>
      </c>
      <c r="K455" s="4">
        <f t="shared" si="30"/>
        <v>-1.3253394367813698E-2</v>
      </c>
      <c r="M455" s="5">
        <v>45350</v>
      </c>
      <c r="N455" s="2">
        <v>22198.35</v>
      </c>
      <c r="O455" s="4">
        <f t="shared" si="31"/>
        <v>3.4490474436139618E-3</v>
      </c>
    </row>
    <row r="456" spans="1:15" x14ac:dyDescent="0.25">
      <c r="A456" s="3">
        <v>45349</v>
      </c>
      <c r="B456" s="1">
        <v>364.55</v>
      </c>
      <c r="C456" s="4">
        <f t="shared" si="28"/>
        <v>-6.4239711970607294E-3</v>
      </c>
      <c r="E456" s="3">
        <v>45349</v>
      </c>
      <c r="F456" s="1">
        <v>126.34</v>
      </c>
      <c r="G456" s="4">
        <f t="shared" si="29"/>
        <v>1.0315873650539764E-2</v>
      </c>
      <c r="I456" s="3">
        <v>45349</v>
      </c>
      <c r="J456" s="1">
        <v>148.113</v>
      </c>
      <c r="K456" s="4">
        <f t="shared" si="30"/>
        <v>-5.1960321209254534E-4</v>
      </c>
      <c r="M456" s="5">
        <v>45349</v>
      </c>
      <c r="N456" s="2">
        <v>22122.05</v>
      </c>
      <c r="O456" s="4">
        <f t="shared" si="31"/>
        <v>-4.0809987079464261E-3</v>
      </c>
    </row>
    <row r="457" spans="1:15" x14ac:dyDescent="0.25">
      <c r="A457" s="3">
        <v>45348</v>
      </c>
      <c r="B457" s="1">
        <v>366.90699999999998</v>
      </c>
      <c r="C457" s="4">
        <f t="shared" si="28"/>
        <v>1.4958005672032204E-3</v>
      </c>
      <c r="E457" s="3">
        <v>45348</v>
      </c>
      <c r="F457" s="1">
        <v>125.05</v>
      </c>
      <c r="G457" s="4">
        <f t="shared" si="29"/>
        <v>5.6292722155206754E-3</v>
      </c>
      <c r="I457" s="3">
        <v>45348</v>
      </c>
      <c r="J457" s="1">
        <v>148.19</v>
      </c>
      <c r="K457" s="4">
        <f t="shared" si="30"/>
        <v>-2.9939112591246264E-3</v>
      </c>
      <c r="M457" s="5">
        <v>45348</v>
      </c>
      <c r="N457" s="2">
        <v>22212.7</v>
      </c>
      <c r="O457" s="4">
        <f t="shared" si="31"/>
        <v>-2.1379591267223219E-4</v>
      </c>
    </row>
    <row r="458" spans="1:15" x14ac:dyDescent="0.25">
      <c r="A458" s="3">
        <v>45345</v>
      </c>
      <c r="B458" s="1">
        <v>366.35899999999998</v>
      </c>
      <c r="C458" s="4">
        <f t="shared" si="28"/>
        <v>-2.2522645198891356E-3</v>
      </c>
      <c r="E458" s="3">
        <v>45345</v>
      </c>
      <c r="F458" s="1">
        <v>124.35</v>
      </c>
      <c r="G458" s="4">
        <f t="shared" si="29"/>
        <v>-1.0975900739680355E-2</v>
      </c>
      <c r="I458" s="3">
        <v>45345</v>
      </c>
      <c r="J458" s="1">
        <v>148.63499999999999</v>
      </c>
      <c r="K458" s="4">
        <f t="shared" si="30"/>
        <v>1.3136620856910586E-3</v>
      </c>
      <c r="M458" s="5">
        <v>45345</v>
      </c>
      <c r="N458" s="2">
        <v>22217.45</v>
      </c>
      <c r="O458" s="4">
        <f t="shared" si="31"/>
        <v>7.3633929644232321E-3</v>
      </c>
    </row>
    <row r="459" spans="1:15" x14ac:dyDescent="0.25">
      <c r="A459" s="3">
        <v>45344</v>
      </c>
      <c r="B459" s="1">
        <v>367.18599999999998</v>
      </c>
      <c r="C459" s="4">
        <f t="shared" si="28"/>
        <v>4.9863352615653334E-4</v>
      </c>
      <c r="E459" s="3">
        <v>45344</v>
      </c>
      <c r="F459" s="1">
        <v>125.73</v>
      </c>
      <c r="G459" s="4">
        <f t="shared" si="29"/>
        <v>1.0350318471339381E-3</v>
      </c>
      <c r="I459" s="3">
        <v>45344</v>
      </c>
      <c r="J459" s="1">
        <v>148.44</v>
      </c>
      <c r="K459" s="4">
        <f t="shared" si="30"/>
        <v>8.3074644911931284E-3</v>
      </c>
      <c r="M459" s="5">
        <v>45344</v>
      </c>
      <c r="N459" s="2">
        <v>22055.05</v>
      </c>
      <c r="O459" s="4">
        <f t="shared" si="31"/>
        <v>-6.3927701778848656E-3</v>
      </c>
    </row>
    <row r="460" spans="1:15" x14ac:dyDescent="0.25">
      <c r="A460" s="3">
        <v>45343</v>
      </c>
      <c r="B460" s="1">
        <v>367.00299999999999</v>
      </c>
      <c r="C460" s="4">
        <f t="shared" si="28"/>
        <v>8.3552678576335193E-3</v>
      </c>
      <c r="E460" s="3">
        <v>45343</v>
      </c>
      <c r="F460" s="1">
        <v>125.6</v>
      </c>
      <c r="G460" s="4">
        <f t="shared" si="29"/>
        <v>-1.7485296455252985E-3</v>
      </c>
      <c r="I460" s="3">
        <v>45343</v>
      </c>
      <c r="J460" s="1">
        <v>147.21700000000001</v>
      </c>
      <c r="K460" s="4">
        <f t="shared" si="30"/>
        <v>-8.0118054526097104E-3</v>
      </c>
      <c r="M460" s="5">
        <v>45343</v>
      </c>
      <c r="N460" s="2">
        <v>22196.95</v>
      </c>
      <c r="O460" s="4">
        <f t="shared" si="31"/>
        <v>3.3766908881329716E-3</v>
      </c>
    </row>
    <row r="461" spans="1:15" x14ac:dyDescent="0.25">
      <c r="A461" s="3">
        <v>45342</v>
      </c>
      <c r="B461" s="1">
        <v>363.96199999999999</v>
      </c>
      <c r="C461" s="4">
        <f t="shared" si="28"/>
        <v>1.2459559979192347E-2</v>
      </c>
      <c r="E461" s="3">
        <v>45342</v>
      </c>
      <c r="F461" s="1">
        <v>125.82</v>
      </c>
      <c r="G461" s="4">
        <f t="shared" si="29"/>
        <v>2.4699227153213155E-3</v>
      </c>
      <c r="I461" s="3">
        <v>45342</v>
      </c>
      <c r="J461" s="1">
        <v>148.40600000000001</v>
      </c>
      <c r="K461" s="4">
        <f t="shared" si="30"/>
        <v>5.1911628879053318E-4</v>
      </c>
      <c r="M461" s="5">
        <v>45342</v>
      </c>
      <c r="N461" s="2">
        <v>22122.25</v>
      </c>
      <c r="O461" s="4">
        <f t="shared" si="31"/>
        <v>3.6999732313400813E-3</v>
      </c>
    </row>
    <row r="462" spans="1:15" x14ac:dyDescent="0.25">
      <c r="A462" s="3">
        <v>45341</v>
      </c>
      <c r="B462" s="1">
        <v>359.483</v>
      </c>
      <c r="C462" s="4">
        <f t="shared" si="28"/>
        <v>2.7140107667846802E-3</v>
      </c>
      <c r="E462" s="3">
        <v>45341</v>
      </c>
      <c r="F462" s="1">
        <v>125.51</v>
      </c>
      <c r="G462" s="4">
        <f t="shared" si="29"/>
        <v>7.3842202423950454E-3</v>
      </c>
      <c r="I462" s="3">
        <v>45341</v>
      </c>
      <c r="J462" s="1">
        <v>148.32900000000001</v>
      </c>
      <c r="K462" s="4">
        <f t="shared" si="30"/>
        <v>3.3720216618671195E-4</v>
      </c>
      <c r="M462" s="5">
        <v>45341</v>
      </c>
      <c r="N462" s="2">
        <v>22040.7</v>
      </c>
      <c r="O462" s="4">
        <f t="shared" si="31"/>
        <v>5.9308786782743539E-3</v>
      </c>
    </row>
    <row r="463" spans="1:15" x14ac:dyDescent="0.25">
      <c r="A463" s="3">
        <v>45338</v>
      </c>
      <c r="B463" s="1">
        <v>358.51</v>
      </c>
      <c r="C463" s="4">
        <f t="shared" si="28"/>
        <v>-1.1549521779767868E-2</v>
      </c>
      <c r="E463" s="3">
        <v>45338</v>
      </c>
      <c r="F463" s="1">
        <v>124.59</v>
      </c>
      <c r="G463" s="4">
        <f t="shared" si="29"/>
        <v>-8.6728198599618223E-3</v>
      </c>
      <c r="I463" s="3">
        <v>45338</v>
      </c>
      <c r="J463" s="1">
        <v>148.279</v>
      </c>
      <c r="K463" s="4">
        <f t="shared" si="30"/>
        <v>5.5131352311719173E-3</v>
      </c>
      <c r="M463" s="5">
        <v>45338</v>
      </c>
      <c r="N463" s="2">
        <v>21910.75</v>
      </c>
      <c r="O463" s="4">
        <f t="shared" si="31"/>
        <v>3.2371720760713263E-3</v>
      </c>
    </row>
    <row r="464" spans="1:15" x14ac:dyDescent="0.25">
      <c r="A464" s="3">
        <v>45337</v>
      </c>
      <c r="B464" s="1">
        <v>362.69900000000001</v>
      </c>
      <c r="C464" s="4">
        <f t="shared" si="28"/>
        <v>1.0322224522183454E-3</v>
      </c>
      <c r="E464" s="3">
        <v>45337</v>
      </c>
      <c r="F464" s="1">
        <v>125.68</v>
      </c>
      <c r="G464" s="4">
        <f t="shared" si="29"/>
        <v>1.5938795027097274E-3</v>
      </c>
      <c r="I464" s="3">
        <v>45337</v>
      </c>
      <c r="J464" s="1">
        <v>147.46600000000001</v>
      </c>
      <c r="K464" s="4">
        <f t="shared" si="30"/>
        <v>8.5007146618520935E-3</v>
      </c>
      <c r="M464" s="5">
        <v>45337</v>
      </c>
      <c r="N464" s="2">
        <v>21840.05</v>
      </c>
      <c r="O464" s="4">
        <f t="shared" si="31"/>
        <v>4.4519563542708696E-3</v>
      </c>
    </row>
    <row r="465" spans="1:15" x14ac:dyDescent="0.25">
      <c r="A465" s="3">
        <v>45336</v>
      </c>
      <c r="B465" s="1">
        <v>362.32499999999999</v>
      </c>
      <c r="C465" s="4">
        <f t="shared" si="28"/>
        <v>-3.8161957367485178E-3</v>
      </c>
      <c r="E465" s="3">
        <v>45336</v>
      </c>
      <c r="F465" s="1">
        <v>125.48</v>
      </c>
      <c r="G465" s="4">
        <f t="shared" si="29"/>
        <v>1.5164817623114502E-3</v>
      </c>
      <c r="I465" s="3">
        <v>45336</v>
      </c>
      <c r="J465" s="1">
        <v>146.22300000000001</v>
      </c>
      <c r="K465" s="4">
        <f t="shared" si="30"/>
        <v>1.1545858295169964E-2</v>
      </c>
      <c r="M465" s="5">
        <v>45336</v>
      </c>
      <c r="N465" s="2">
        <v>21743.25</v>
      </c>
      <c r="O465" s="4">
        <f t="shared" si="31"/>
        <v>5.8845163663112654E-3</v>
      </c>
    </row>
    <row r="466" spans="1:15" x14ac:dyDescent="0.25">
      <c r="A466" s="3">
        <v>45335</v>
      </c>
      <c r="B466" s="1">
        <v>363.71300000000002</v>
      </c>
      <c r="C466" s="4">
        <f t="shared" si="28"/>
        <v>-2.3914238592626091E-4</v>
      </c>
      <c r="E466" s="3">
        <v>45335</v>
      </c>
      <c r="F466" s="1">
        <v>125.29</v>
      </c>
      <c r="G466" s="4">
        <f t="shared" si="29"/>
        <v>7.3972823028061185E-3</v>
      </c>
      <c r="I466" s="3">
        <v>45335</v>
      </c>
      <c r="J466" s="1">
        <v>144.554</v>
      </c>
      <c r="K466" s="4">
        <f t="shared" si="30"/>
        <v>6.5453228793850293E-3</v>
      </c>
      <c r="M466" s="5">
        <v>45335</v>
      </c>
      <c r="N466" s="2">
        <v>21616.05</v>
      </c>
      <c r="O466" s="4">
        <f t="shared" si="31"/>
        <v>-7.6414552966831417E-3</v>
      </c>
    </row>
    <row r="467" spans="1:15" x14ac:dyDescent="0.25">
      <c r="A467" s="3">
        <v>45334</v>
      </c>
      <c r="B467" s="1">
        <v>363.8</v>
      </c>
      <c r="C467" s="4">
        <f t="shared" si="28"/>
        <v>6.3512436930157623E-3</v>
      </c>
      <c r="E467" s="3">
        <v>45334</v>
      </c>
      <c r="F467" s="1">
        <v>124.37</v>
      </c>
      <c r="G467" s="4">
        <f t="shared" si="29"/>
        <v>1.1713983567884112E-2</v>
      </c>
      <c r="I467" s="3">
        <v>45334</v>
      </c>
      <c r="J467" s="1">
        <v>143.614</v>
      </c>
      <c r="K467" s="4">
        <f t="shared" si="30"/>
        <v>-1.9070256683469289E-2</v>
      </c>
      <c r="M467" s="5">
        <v>45334</v>
      </c>
      <c r="N467" s="2">
        <v>21782.5</v>
      </c>
      <c r="O467" s="4">
        <f t="shared" si="31"/>
        <v>2.9721958103781088E-3</v>
      </c>
    </row>
    <row r="468" spans="1:15" x14ac:dyDescent="0.25">
      <c r="A468" s="3">
        <v>45331</v>
      </c>
      <c r="B468" s="1">
        <v>361.50400000000002</v>
      </c>
      <c r="C468" s="4">
        <f t="shared" si="28"/>
        <v>-6.6115248275672167E-3</v>
      </c>
      <c r="E468" s="3">
        <v>45331</v>
      </c>
      <c r="F468" s="1">
        <v>122.93</v>
      </c>
      <c r="G468" s="4">
        <f t="shared" si="29"/>
        <v>7.375235597803842E-3</v>
      </c>
      <c r="I468" s="3">
        <v>45331</v>
      </c>
      <c r="J468" s="1">
        <v>146.40600000000001</v>
      </c>
      <c r="K468" s="4">
        <f t="shared" si="30"/>
        <v>-4.2982086263415598E-3</v>
      </c>
      <c r="M468" s="5">
        <v>45331</v>
      </c>
      <c r="N468" s="2">
        <v>21717.95</v>
      </c>
      <c r="O468" s="4">
        <f t="shared" si="31"/>
        <v>-9.6919814869701471E-3</v>
      </c>
    </row>
    <row r="469" spans="1:15" x14ac:dyDescent="0.25">
      <c r="A469" s="3">
        <v>45330</v>
      </c>
      <c r="B469" s="1">
        <v>363.91</v>
      </c>
      <c r="C469" s="4">
        <f t="shared" si="28"/>
        <v>-1.4104449761814797E-3</v>
      </c>
      <c r="E469" s="3">
        <v>45330</v>
      </c>
      <c r="F469" s="1">
        <v>122.03</v>
      </c>
      <c r="G469" s="4">
        <f t="shared" si="29"/>
        <v>5.686500741717504E-3</v>
      </c>
      <c r="I469" s="3">
        <v>45330</v>
      </c>
      <c r="J469" s="1">
        <v>147.03800000000001</v>
      </c>
      <c r="K469" s="4">
        <f t="shared" si="30"/>
        <v>-6.4567432187201401E-4</v>
      </c>
      <c r="M469" s="5">
        <v>45330</v>
      </c>
      <c r="N469" s="2">
        <v>21930.5</v>
      </c>
      <c r="O469" s="4">
        <f t="shared" si="31"/>
        <v>5.0160971116319786E-5</v>
      </c>
    </row>
    <row r="470" spans="1:15" x14ac:dyDescent="0.25">
      <c r="A470" s="3">
        <v>45329</v>
      </c>
      <c r="B470" s="1">
        <v>364.42399999999998</v>
      </c>
      <c r="C470" s="4">
        <f t="shared" si="28"/>
        <v>3.1546088670384442E-3</v>
      </c>
      <c r="E470" s="3">
        <v>45329</v>
      </c>
      <c r="F470" s="1">
        <v>121.34</v>
      </c>
      <c r="G470" s="4">
        <f t="shared" si="29"/>
        <v>-1.5816367913050522E-2</v>
      </c>
      <c r="I470" s="3">
        <v>45329</v>
      </c>
      <c r="J470" s="1">
        <v>147.13300000000001</v>
      </c>
      <c r="K470" s="4">
        <f t="shared" si="30"/>
        <v>-1.0252301675672815E-3</v>
      </c>
      <c r="M470" s="5">
        <v>45329</v>
      </c>
      <c r="N470" s="2">
        <v>21929.4</v>
      </c>
      <c r="O470" s="4">
        <f t="shared" si="31"/>
        <v>7.2433480160023489E-3</v>
      </c>
    </row>
    <row r="471" spans="1:15" x14ac:dyDescent="0.25">
      <c r="A471" s="3">
        <v>45328</v>
      </c>
      <c r="B471" s="1">
        <v>363.27800000000002</v>
      </c>
      <c r="C471" s="4">
        <f t="shared" si="28"/>
        <v>5.254870924984667E-3</v>
      </c>
      <c r="E471" s="3">
        <v>45328</v>
      </c>
      <c r="F471" s="1">
        <v>123.29</v>
      </c>
      <c r="G471" s="4">
        <f t="shared" si="29"/>
        <v>-4.0390984732208146E-3</v>
      </c>
      <c r="I471" s="3">
        <v>45328</v>
      </c>
      <c r="J471" s="1">
        <v>147.28399999999999</v>
      </c>
      <c r="K471" s="4">
        <f t="shared" si="30"/>
        <v>1.0732912434806341E-2</v>
      </c>
      <c r="M471" s="5">
        <v>45328</v>
      </c>
      <c r="N471" s="2">
        <v>21771.7</v>
      </c>
      <c r="O471" s="4">
        <f t="shared" si="31"/>
        <v>-3.756783717248191E-3</v>
      </c>
    </row>
    <row r="472" spans="1:15" x14ac:dyDescent="0.25">
      <c r="A472" s="3">
        <v>45327</v>
      </c>
      <c r="B472" s="1">
        <v>361.37900000000002</v>
      </c>
      <c r="C472" s="4">
        <f t="shared" si="28"/>
        <v>1.4143834943691314E-2</v>
      </c>
      <c r="E472" s="3">
        <v>45327</v>
      </c>
      <c r="F472" s="1">
        <v>123.79</v>
      </c>
      <c r="G472" s="4">
        <f t="shared" si="29"/>
        <v>-1.8545395903886153E-3</v>
      </c>
      <c r="I472" s="3">
        <v>45327</v>
      </c>
      <c r="J472" s="1">
        <v>145.72</v>
      </c>
      <c r="K472" s="4">
        <f t="shared" si="30"/>
        <v>8.516717492237369E-4</v>
      </c>
      <c r="M472" s="5">
        <v>45327</v>
      </c>
      <c r="N472" s="2">
        <v>21853.8</v>
      </c>
      <c r="O472" s="4">
        <f t="shared" si="31"/>
        <v>7.2059159025599229E-3</v>
      </c>
    </row>
    <row r="473" spans="1:15" x14ac:dyDescent="0.25">
      <c r="A473" s="3">
        <v>45324</v>
      </c>
      <c r="B473" s="1">
        <v>356.339</v>
      </c>
      <c r="C473" s="4">
        <f t="shared" si="28"/>
        <v>1.0022590510851748E-2</v>
      </c>
      <c r="E473" s="3">
        <v>45324</v>
      </c>
      <c r="F473" s="1">
        <v>124.02</v>
      </c>
      <c r="G473" s="4">
        <f t="shared" si="29"/>
        <v>1.0493179433368471E-3</v>
      </c>
      <c r="I473" s="3">
        <v>45324</v>
      </c>
      <c r="J473" s="1">
        <v>145.596</v>
      </c>
      <c r="K473" s="4">
        <f t="shared" si="30"/>
        <v>1.0171373065982259E-2</v>
      </c>
      <c r="M473" s="5">
        <v>45324</v>
      </c>
      <c r="N473" s="2">
        <v>21697.45</v>
      </c>
      <c r="O473" s="4">
        <f t="shared" si="31"/>
        <v>-1.3003033273956133E-3</v>
      </c>
    </row>
    <row r="474" spans="1:15" x14ac:dyDescent="0.25">
      <c r="A474" s="3">
        <v>45323</v>
      </c>
      <c r="B474" s="1">
        <v>352.803</v>
      </c>
      <c r="C474" s="4">
        <f t="shared" si="28"/>
        <v>3.6213125480044628E-3</v>
      </c>
      <c r="E474" s="3">
        <v>45323</v>
      </c>
      <c r="F474" s="1">
        <v>123.89</v>
      </c>
      <c r="G474" s="4">
        <f t="shared" si="29"/>
        <v>7.7273466731739848E-3</v>
      </c>
      <c r="I474" s="3">
        <v>45323</v>
      </c>
      <c r="J474" s="1">
        <v>144.13</v>
      </c>
      <c r="K474" s="4">
        <f t="shared" si="30"/>
        <v>1.4661024604116779E-3</v>
      </c>
      <c r="M474" s="5">
        <v>45323</v>
      </c>
      <c r="N474" s="2">
        <v>21725.7</v>
      </c>
      <c r="O474" s="4">
        <f t="shared" si="31"/>
        <v>9.4600433972522602E-3</v>
      </c>
    </row>
    <row r="475" spans="1:15" x14ac:dyDescent="0.25">
      <c r="A475" s="3">
        <v>45322</v>
      </c>
      <c r="B475" s="1">
        <v>351.53</v>
      </c>
      <c r="C475" s="4">
        <f t="shared" si="28"/>
        <v>-1.8733199159225222E-2</v>
      </c>
      <c r="E475" s="3">
        <v>45322</v>
      </c>
      <c r="F475" s="1">
        <v>122.94</v>
      </c>
      <c r="G475" s="4">
        <f t="shared" si="29"/>
        <v>1.4662756598240456E-3</v>
      </c>
      <c r="I475" s="3">
        <v>45322</v>
      </c>
      <c r="J475" s="1">
        <v>143.91900000000001</v>
      </c>
      <c r="K475" s="4">
        <f t="shared" si="30"/>
        <v>1.3735392937894941E-2</v>
      </c>
      <c r="M475" s="5">
        <v>45322</v>
      </c>
      <c r="N475" s="2">
        <v>21522.1</v>
      </c>
      <c r="O475" s="4">
        <f t="shared" si="31"/>
        <v>-9.9136979243338308E-3</v>
      </c>
    </row>
    <row r="476" spans="1:15" x14ac:dyDescent="0.25">
      <c r="A476" s="3">
        <v>45321</v>
      </c>
      <c r="B476" s="1">
        <v>358.24099999999999</v>
      </c>
      <c r="C476" s="4">
        <f t="shared" si="28"/>
        <v>-5.1569295025244433E-3</v>
      </c>
      <c r="E476" s="3">
        <v>45321</v>
      </c>
      <c r="F476" s="1">
        <v>122.76</v>
      </c>
      <c r="G476" s="4">
        <f t="shared" si="29"/>
        <v>8.7928342509655533E-3</v>
      </c>
      <c r="I476" s="3">
        <v>45321</v>
      </c>
      <c r="J476" s="1">
        <v>141.96899999999999</v>
      </c>
      <c r="K476" s="4">
        <f t="shared" si="30"/>
        <v>-5.3874931693032035E-3</v>
      </c>
      <c r="M476" s="5">
        <v>45321</v>
      </c>
      <c r="N476" s="2">
        <v>21737.599999999999</v>
      </c>
      <c r="O476" s="4">
        <f t="shared" si="31"/>
        <v>1.8030591122392581E-2</v>
      </c>
    </row>
    <row r="477" spans="1:15" x14ac:dyDescent="0.25">
      <c r="A477" s="3">
        <v>45320</v>
      </c>
      <c r="B477" s="1">
        <v>360.09800000000001</v>
      </c>
      <c r="C477" s="4">
        <f t="shared" si="28"/>
        <v>-2.9874549043821252E-3</v>
      </c>
      <c r="E477" s="3">
        <v>45320</v>
      </c>
      <c r="F477" s="1">
        <v>121.69</v>
      </c>
      <c r="G477" s="4">
        <f t="shared" si="29"/>
        <v>9.047540713933433E-4</v>
      </c>
      <c r="I477" s="3">
        <v>45320</v>
      </c>
      <c r="J477" s="1">
        <v>142.738</v>
      </c>
      <c r="K477" s="4">
        <f t="shared" si="30"/>
        <v>1.9214977828871715E-2</v>
      </c>
      <c r="M477" s="5">
        <v>45320</v>
      </c>
      <c r="N477" s="2">
        <v>21352.6</v>
      </c>
      <c r="O477" s="4">
        <f t="shared" si="31"/>
        <v>-4.7240717909756702E-3</v>
      </c>
    </row>
    <row r="478" spans="1:15" x14ac:dyDescent="0.25">
      <c r="A478" s="3">
        <v>45316</v>
      </c>
      <c r="B478" s="1">
        <v>361.17700000000002</v>
      </c>
      <c r="C478" s="4">
        <f t="shared" si="28"/>
        <v>-1.7412598429549231E-3</v>
      </c>
      <c r="E478" s="3">
        <v>45316</v>
      </c>
      <c r="F478" s="1">
        <v>121.58</v>
      </c>
      <c r="G478" s="4">
        <f t="shared" si="29"/>
        <v>1.1565022048423357E-2</v>
      </c>
      <c r="I478" s="3">
        <v>45316</v>
      </c>
      <c r="J478" s="1">
        <v>140.047</v>
      </c>
      <c r="K478" s="4">
        <f t="shared" si="30"/>
        <v>-2.350812455031881E-3</v>
      </c>
      <c r="M478" s="5">
        <v>45316</v>
      </c>
      <c r="N478" s="2">
        <v>21453.95</v>
      </c>
      <c r="O478" s="4">
        <f t="shared" si="31"/>
        <v>1.0130045011959243E-2</v>
      </c>
    </row>
    <row r="479" spans="1:15" x14ac:dyDescent="0.25">
      <c r="A479" s="3">
        <v>45315</v>
      </c>
      <c r="B479" s="1">
        <v>361.80700000000002</v>
      </c>
      <c r="C479" s="4">
        <f t="shared" si="28"/>
        <v>1.1620266684561287E-2</v>
      </c>
      <c r="E479" s="3">
        <v>45315</v>
      </c>
      <c r="F479" s="1">
        <v>120.19</v>
      </c>
      <c r="G479" s="4">
        <f t="shared" si="29"/>
        <v>-6.2835882596115056E-3</v>
      </c>
      <c r="I479" s="3">
        <v>45315</v>
      </c>
      <c r="J479" s="1">
        <v>140.37700000000001</v>
      </c>
      <c r="K479" s="4">
        <f t="shared" si="30"/>
        <v>1.6598471955679539E-2</v>
      </c>
      <c r="M479" s="5">
        <v>45315</v>
      </c>
      <c r="N479" s="2">
        <v>21238.799999999999</v>
      </c>
      <c r="O479" s="4">
        <f t="shared" si="31"/>
        <v>-1.7740861328992219E-2</v>
      </c>
    </row>
    <row r="480" spans="1:15" x14ac:dyDescent="0.25">
      <c r="A480" s="3">
        <v>45314</v>
      </c>
      <c r="B480" s="1">
        <v>357.65100000000001</v>
      </c>
      <c r="C480" s="4">
        <f t="shared" si="28"/>
        <v>4.3809026344390212E-3</v>
      </c>
      <c r="E480" s="3">
        <v>45314</v>
      </c>
      <c r="F480" s="1">
        <v>120.95</v>
      </c>
      <c r="G480" s="4">
        <f t="shared" si="29"/>
        <v>1.5107007973143016E-2</v>
      </c>
      <c r="I480" s="3">
        <v>45314</v>
      </c>
      <c r="J480" s="1">
        <v>138.08500000000001</v>
      </c>
      <c r="K480" s="4">
        <f t="shared" si="30"/>
        <v>-2.434802269467462E-2</v>
      </c>
      <c r="M480" s="5">
        <v>45314</v>
      </c>
      <c r="N480" s="2">
        <v>21622.400000000001</v>
      </c>
      <c r="O480" s="4">
        <f t="shared" si="31"/>
        <v>7.4619389858938678E-3</v>
      </c>
    </row>
    <row r="481" spans="1:15" x14ac:dyDescent="0.25">
      <c r="A481" s="3">
        <v>45310</v>
      </c>
      <c r="B481" s="1">
        <v>356.09100000000001</v>
      </c>
      <c r="C481" s="4">
        <f t="shared" si="28"/>
        <v>1.0104133276978677E-2</v>
      </c>
      <c r="E481" s="3">
        <v>45310</v>
      </c>
      <c r="F481" s="1">
        <v>119.15</v>
      </c>
      <c r="G481" s="4">
        <f t="shared" si="29"/>
        <v>-3.845832288270179E-3</v>
      </c>
      <c r="I481" s="3">
        <v>45310</v>
      </c>
      <c r="J481" s="1">
        <v>141.53100000000001</v>
      </c>
      <c r="K481" s="4">
        <f t="shared" si="30"/>
        <v>1.2736939270559855E-2</v>
      </c>
      <c r="M481" s="5">
        <v>45310</v>
      </c>
      <c r="N481" s="2">
        <v>21462.25</v>
      </c>
      <c r="O481" s="4">
        <f t="shared" si="31"/>
        <v>-5.0853075405793424E-3</v>
      </c>
    </row>
    <row r="482" spans="1:15" x14ac:dyDescent="0.25">
      <c r="A482" s="3">
        <v>45309</v>
      </c>
      <c r="B482" s="1">
        <v>352.529</v>
      </c>
      <c r="C482" s="4">
        <f t="shared" si="28"/>
        <v>2.0551099185346366E-3</v>
      </c>
      <c r="E482" s="3">
        <v>45309</v>
      </c>
      <c r="F482" s="1">
        <v>119.61</v>
      </c>
      <c r="G482" s="4">
        <f t="shared" si="29"/>
        <v>1.3815901000169495E-2</v>
      </c>
      <c r="I482" s="3">
        <v>45309</v>
      </c>
      <c r="J482" s="1">
        <v>139.751</v>
      </c>
      <c r="K482" s="4">
        <f t="shared" si="30"/>
        <v>-1.5717541490737341E-3</v>
      </c>
      <c r="M482" s="5">
        <v>45309</v>
      </c>
      <c r="N482" s="2">
        <v>21571.95</v>
      </c>
      <c r="O482" s="4">
        <f t="shared" si="31"/>
        <v>-2.0894323334377241E-2</v>
      </c>
    </row>
    <row r="483" spans="1:15" x14ac:dyDescent="0.25">
      <c r="A483" s="3">
        <v>45308</v>
      </c>
      <c r="B483" s="1">
        <v>351.80599999999998</v>
      </c>
      <c r="C483" s="4">
        <f t="shared" si="28"/>
        <v>1.3269047433892345E-2</v>
      </c>
      <c r="E483" s="3">
        <v>45308</v>
      </c>
      <c r="F483" s="1">
        <v>117.98</v>
      </c>
      <c r="G483" s="4">
        <f t="shared" si="29"/>
        <v>-1.8877338877338889E-2</v>
      </c>
      <c r="I483" s="3">
        <v>45308</v>
      </c>
      <c r="J483" s="1">
        <v>139.971</v>
      </c>
      <c r="K483" s="4">
        <f t="shared" si="30"/>
        <v>-1.2975016042479082E-2</v>
      </c>
      <c r="M483" s="5">
        <v>45308</v>
      </c>
      <c r="N483" s="2">
        <v>22032.3</v>
      </c>
      <c r="O483" s="4">
        <f t="shared" si="31"/>
        <v>-2.9483039898269281E-3</v>
      </c>
    </row>
    <row r="484" spans="1:15" x14ac:dyDescent="0.25">
      <c r="A484" s="3">
        <v>45307</v>
      </c>
      <c r="B484" s="1">
        <v>347.19900000000001</v>
      </c>
      <c r="C484" s="4">
        <f t="shared" si="28"/>
        <v>-1.7337450618455374E-3</v>
      </c>
      <c r="E484" s="3">
        <v>45307</v>
      </c>
      <c r="F484" s="1">
        <v>120.25</v>
      </c>
      <c r="G484" s="4">
        <f t="shared" si="29"/>
        <v>1.0843981170141292E-2</v>
      </c>
      <c r="I484" s="3">
        <v>45307</v>
      </c>
      <c r="J484" s="1">
        <v>141.81100000000001</v>
      </c>
      <c r="K484" s="4">
        <f t="shared" si="30"/>
        <v>-3.1491856402756646E-3</v>
      </c>
      <c r="M484" s="5">
        <v>45307</v>
      </c>
      <c r="N484" s="2">
        <v>22097.45</v>
      </c>
      <c r="O484" s="4">
        <f t="shared" si="31"/>
        <v>9.2671463903117868E-3</v>
      </c>
    </row>
    <row r="485" spans="1:15" x14ac:dyDescent="0.25">
      <c r="A485" s="3">
        <v>45306</v>
      </c>
      <c r="B485" s="1">
        <v>347.80200000000002</v>
      </c>
      <c r="C485" s="4">
        <f t="shared" si="28"/>
        <v>1.4881733984628109E-2</v>
      </c>
      <c r="E485" s="3">
        <v>45306</v>
      </c>
      <c r="F485" s="1">
        <v>118.96</v>
      </c>
      <c r="G485" s="4">
        <f t="shared" si="29"/>
        <v>-5.6006018557218651E-3</v>
      </c>
      <c r="I485" s="3">
        <v>45306</v>
      </c>
      <c r="J485" s="1">
        <v>142.25899999999999</v>
      </c>
      <c r="K485" s="4">
        <f t="shared" si="30"/>
        <v>8.228323576521035E-3</v>
      </c>
      <c r="M485" s="5">
        <v>45306</v>
      </c>
      <c r="N485" s="2">
        <v>21894.55</v>
      </c>
      <c r="O485" s="4">
        <f t="shared" si="31"/>
        <v>1.1426420045086649E-2</v>
      </c>
    </row>
    <row r="486" spans="1:15" x14ac:dyDescent="0.25">
      <c r="A486" s="3">
        <v>45303</v>
      </c>
      <c r="B486" s="1">
        <v>342.702</v>
      </c>
      <c r="C486" s="4">
        <f t="shared" si="28"/>
        <v>-1.5906866172562539E-3</v>
      </c>
      <c r="E486" s="3">
        <v>45303</v>
      </c>
      <c r="F486" s="1">
        <v>119.63</v>
      </c>
      <c r="G486" s="4">
        <f t="shared" si="29"/>
        <v>-1.587693320171113E-2</v>
      </c>
      <c r="I486" s="3">
        <v>45303</v>
      </c>
      <c r="J486" s="1">
        <v>141.09800000000001</v>
      </c>
      <c r="K486" s="4">
        <f t="shared" si="30"/>
        <v>8.2677699887809819E-3</v>
      </c>
      <c r="M486" s="5">
        <v>45303</v>
      </c>
      <c r="N486" s="2">
        <v>21647.200000000001</v>
      </c>
      <c r="O486" s="4">
        <f t="shared" si="31"/>
        <v>1.3183031357111297E-3</v>
      </c>
    </row>
    <row r="487" spans="1:15" x14ac:dyDescent="0.25">
      <c r="A487" s="3">
        <v>45302</v>
      </c>
      <c r="B487" s="1">
        <v>343.24799999999999</v>
      </c>
      <c r="C487" s="4">
        <f t="shared" si="28"/>
        <v>1.2399570557213746E-2</v>
      </c>
      <c r="E487" s="3">
        <v>45302</v>
      </c>
      <c r="F487" s="1">
        <v>121.56</v>
      </c>
      <c r="G487" s="4">
        <f t="shared" si="29"/>
        <v>-6.1319597743438869E-3</v>
      </c>
      <c r="I487" s="3">
        <v>45302</v>
      </c>
      <c r="J487" s="1">
        <v>139.941</v>
      </c>
      <c r="K487" s="4">
        <f t="shared" si="30"/>
        <v>6.0098486754611713E-3</v>
      </c>
      <c r="M487" s="5">
        <v>45302</v>
      </c>
      <c r="N487" s="2">
        <v>21618.7</v>
      </c>
      <c r="O487" s="4">
        <f t="shared" si="31"/>
        <v>3.4277333098164942E-3</v>
      </c>
    </row>
    <row r="488" spans="1:15" x14ac:dyDescent="0.25">
      <c r="A488" s="3">
        <v>45301</v>
      </c>
      <c r="B488" s="1">
        <v>339.04399999999998</v>
      </c>
      <c r="C488" s="4">
        <f t="shared" si="28"/>
        <v>-1.9523127864775502E-2</v>
      </c>
      <c r="E488" s="3">
        <v>45301</v>
      </c>
      <c r="F488" s="1">
        <v>122.31</v>
      </c>
      <c r="G488" s="4">
        <f t="shared" si="29"/>
        <v>7.1640316205534571E-3</v>
      </c>
      <c r="I488" s="3">
        <v>45301</v>
      </c>
      <c r="J488" s="1">
        <v>139.10499999999999</v>
      </c>
      <c r="K488" s="4">
        <f t="shared" si="30"/>
        <v>-9.3367328617099954E-4</v>
      </c>
      <c r="M488" s="5">
        <v>45301</v>
      </c>
      <c r="N488" s="2">
        <v>21544.85</v>
      </c>
      <c r="O488" s="4">
        <f t="shared" si="31"/>
        <v>1.4805001626922998E-3</v>
      </c>
    </row>
    <row r="489" spans="1:15" x14ac:dyDescent="0.25">
      <c r="A489" s="3">
        <v>45300</v>
      </c>
      <c r="B489" s="1">
        <v>345.79500000000002</v>
      </c>
      <c r="C489" s="4">
        <f t="shared" si="28"/>
        <v>9.1490106811416005E-3</v>
      </c>
      <c r="E489" s="3">
        <v>45300</v>
      </c>
      <c r="F489" s="1">
        <v>121.44</v>
      </c>
      <c r="G489" s="4">
        <f t="shared" si="29"/>
        <v>1.0148061886541271E-2</v>
      </c>
      <c r="I489" s="3">
        <v>45300</v>
      </c>
      <c r="J489" s="1">
        <v>139.23500000000001</v>
      </c>
      <c r="K489" s="4">
        <f t="shared" si="30"/>
        <v>2.9605831844636832E-3</v>
      </c>
      <c r="M489" s="5">
        <v>45300</v>
      </c>
      <c r="N489" s="2">
        <v>21513</v>
      </c>
      <c r="O489" s="4">
        <f t="shared" si="31"/>
        <v>-9.1106730290915205E-3</v>
      </c>
    </row>
    <row r="490" spans="1:15" x14ac:dyDescent="0.25">
      <c r="A490" s="3">
        <v>45299</v>
      </c>
      <c r="B490" s="1">
        <v>342.66</v>
      </c>
      <c r="C490" s="4">
        <f t="shared" si="28"/>
        <v>-1.3726535929424744E-3</v>
      </c>
      <c r="E490" s="3">
        <v>45299</v>
      </c>
      <c r="F490" s="1">
        <v>120.22</v>
      </c>
      <c r="G490" s="4">
        <f t="shared" si="29"/>
        <v>2.0838542969074947E-3</v>
      </c>
      <c r="I490" s="3">
        <v>45299</v>
      </c>
      <c r="J490" s="1">
        <v>138.82400000000001</v>
      </c>
      <c r="K490" s="4">
        <f t="shared" si="30"/>
        <v>-9.3199172197244717E-3</v>
      </c>
      <c r="M490" s="5">
        <v>45299</v>
      </c>
      <c r="N490" s="2">
        <v>21710.799999999999</v>
      </c>
      <c r="O490" s="4">
        <f t="shared" si="31"/>
        <v>2.4101280784538659E-3</v>
      </c>
    </row>
    <row r="491" spans="1:15" x14ac:dyDescent="0.25">
      <c r="A491" s="3">
        <v>45296</v>
      </c>
      <c r="B491" s="1">
        <v>343.13099999999997</v>
      </c>
      <c r="C491" s="4">
        <f t="shared" si="28"/>
        <v>-1.5685644537132948E-2</v>
      </c>
      <c r="E491" s="3">
        <v>45296</v>
      </c>
      <c r="F491" s="1">
        <v>119.97</v>
      </c>
      <c r="G491" s="4">
        <f t="shared" si="29"/>
        <v>-4.9987503124215849E-4</v>
      </c>
      <c r="I491" s="3">
        <v>45296</v>
      </c>
      <c r="J491" s="1">
        <v>140.13</v>
      </c>
      <c r="K491" s="4">
        <f t="shared" si="30"/>
        <v>2.1812980511353164E-3</v>
      </c>
      <c r="M491" s="5">
        <v>45296</v>
      </c>
      <c r="N491" s="2">
        <v>21658.6</v>
      </c>
      <c r="O491" s="4">
        <f t="shared" si="31"/>
        <v>6.5644700671783074E-3</v>
      </c>
    </row>
    <row r="492" spans="1:15" x14ac:dyDescent="0.25">
      <c r="A492" s="3">
        <v>45295</v>
      </c>
      <c r="B492" s="1">
        <v>348.59899999999999</v>
      </c>
      <c r="C492" s="4">
        <f t="shared" si="28"/>
        <v>-1.4236771547081473E-3</v>
      </c>
      <c r="E492" s="3">
        <v>45295</v>
      </c>
      <c r="F492" s="1">
        <v>120.03</v>
      </c>
      <c r="G492" s="4">
        <f t="shared" si="29"/>
        <v>5.4447981236387388E-3</v>
      </c>
      <c r="I492" s="3">
        <v>45295</v>
      </c>
      <c r="J492" s="1">
        <v>139.82499999999999</v>
      </c>
      <c r="K492" s="4">
        <f t="shared" si="30"/>
        <v>1.2975064114638446E-2</v>
      </c>
      <c r="M492" s="5">
        <v>45295</v>
      </c>
      <c r="N492" s="2">
        <v>21517.35</v>
      </c>
      <c r="O492" s="4">
        <f t="shared" si="31"/>
        <v>-6.8518125340398806E-3</v>
      </c>
    </row>
    <row r="493" spans="1:15" x14ac:dyDescent="0.25">
      <c r="A493" s="3">
        <v>45294</v>
      </c>
      <c r="B493" s="1">
        <v>349.096</v>
      </c>
      <c r="C493" s="4">
        <f t="shared" si="28"/>
        <v>4.6188246602070215E-3</v>
      </c>
      <c r="E493" s="3">
        <v>45294</v>
      </c>
      <c r="F493" s="1">
        <v>119.38</v>
      </c>
      <c r="G493" s="4">
        <f t="shared" si="29"/>
        <v>-5.9122324922975533E-3</v>
      </c>
      <c r="I493" s="3">
        <v>45294</v>
      </c>
      <c r="J493" s="1">
        <v>138.03399999999999</v>
      </c>
      <c r="K493" s="4">
        <f t="shared" si="30"/>
        <v>-1.5768307149265359E-3</v>
      </c>
      <c r="M493" s="5">
        <v>45294</v>
      </c>
      <c r="N493" s="2">
        <v>21665.8</v>
      </c>
      <c r="O493" s="4">
        <f t="shared" si="31"/>
        <v>-3.5001540803702991E-3</v>
      </c>
    </row>
    <row r="494" spans="1:15" x14ac:dyDescent="0.25">
      <c r="A494" s="3">
        <v>45293</v>
      </c>
      <c r="B494" s="1">
        <v>347.49099999999999</v>
      </c>
      <c r="C494" s="4">
        <f t="shared" si="28"/>
        <v>7.1006054352960035E-3</v>
      </c>
      <c r="E494" s="3">
        <v>45293</v>
      </c>
      <c r="F494" s="1">
        <v>120.09</v>
      </c>
      <c r="G494" s="4">
        <f t="shared" si="29"/>
        <v>4.8531503639863693E-3</v>
      </c>
      <c r="I494" s="3">
        <v>45293</v>
      </c>
      <c r="J494" s="1">
        <v>138.25200000000001</v>
      </c>
      <c r="K494" s="4">
        <f t="shared" si="30"/>
        <v>-4.6078967831119089E-3</v>
      </c>
      <c r="M494" s="5">
        <v>45293</v>
      </c>
      <c r="N494" s="2">
        <v>21741.9</v>
      </c>
      <c r="O494" s="4">
        <f t="shared" si="31"/>
        <v>4.8317181589774272E-4</v>
      </c>
    </row>
    <row r="495" spans="1:15" x14ac:dyDescent="0.25">
      <c r="A495" s="3">
        <v>45292</v>
      </c>
      <c r="B495" s="1">
        <v>345.041</v>
      </c>
      <c r="C495" s="4">
        <f t="shared" si="28"/>
        <v>3.568790101624586E-3</v>
      </c>
      <c r="E495" s="3">
        <v>45292</v>
      </c>
      <c r="F495" s="1">
        <v>119.51</v>
      </c>
      <c r="G495" s="4">
        <f t="shared" si="29"/>
        <v>1.3225943196269574E-2</v>
      </c>
      <c r="I495" s="3">
        <v>45292</v>
      </c>
      <c r="J495" s="1">
        <v>138.892</v>
      </c>
      <c r="K495" s="4">
        <f t="shared" si="30"/>
        <v>4.7164351851851638E-3</v>
      </c>
      <c r="M495" s="5">
        <v>45292</v>
      </c>
      <c r="N495" s="2">
        <v>21731.4</v>
      </c>
      <c r="O495" s="4">
        <f t="shared" si="31"/>
        <v>-2.1718468044464867E-3</v>
      </c>
    </row>
    <row r="496" spans="1:15" x14ac:dyDescent="0.25">
      <c r="A496" s="3">
        <v>45289</v>
      </c>
      <c r="B496" s="1">
        <v>343.81400000000002</v>
      </c>
      <c r="C496" s="4">
        <f t="shared" si="28"/>
        <v>2.1540479486994446E-3</v>
      </c>
      <c r="E496" s="3">
        <v>45289</v>
      </c>
      <c r="F496" s="1">
        <v>117.95</v>
      </c>
      <c r="G496" s="4">
        <f t="shared" si="29"/>
        <v>-3.6323703328263734E-3</v>
      </c>
      <c r="I496" s="3">
        <v>45289</v>
      </c>
      <c r="J496" s="1">
        <v>138.24</v>
      </c>
      <c r="K496" s="4">
        <f t="shared" si="30"/>
        <v>3.7612000987496952E-3</v>
      </c>
      <c r="M496" s="5">
        <v>45289</v>
      </c>
      <c r="N496" s="2">
        <v>21778.7</v>
      </c>
      <c r="O496" s="4">
        <f t="shared" si="31"/>
        <v>5.7239173853311787E-3</v>
      </c>
    </row>
    <row r="497" spans="1:15" x14ac:dyDescent="0.25">
      <c r="A497" s="3">
        <v>45288</v>
      </c>
      <c r="B497" s="1">
        <v>343.07499999999999</v>
      </c>
      <c r="C497" s="4">
        <f t="shared" si="28"/>
        <v>3.565828887016842E-3</v>
      </c>
      <c r="E497" s="3">
        <v>45288</v>
      </c>
      <c r="F497" s="1">
        <v>118.38</v>
      </c>
      <c r="G497" s="4">
        <f t="shared" si="29"/>
        <v>-4.1221502481703087E-3</v>
      </c>
      <c r="I497" s="3">
        <v>45288</v>
      </c>
      <c r="J497" s="1">
        <v>137.72200000000001</v>
      </c>
      <c r="K497" s="4">
        <f t="shared" si="30"/>
        <v>6.5411066529268425E-3</v>
      </c>
      <c r="M497" s="5">
        <v>45288</v>
      </c>
      <c r="N497" s="2">
        <v>21654.75</v>
      </c>
      <c r="O497" s="4">
        <f t="shared" si="31"/>
        <v>9.9527315211029865E-3</v>
      </c>
    </row>
    <row r="498" spans="1:15" x14ac:dyDescent="0.25">
      <c r="A498" s="3">
        <v>45287</v>
      </c>
      <c r="B498" s="1">
        <v>341.85599999999999</v>
      </c>
      <c r="C498" s="4">
        <f t="shared" si="28"/>
        <v>-8.4232509571875447E-3</v>
      </c>
      <c r="E498" s="3">
        <v>45287</v>
      </c>
      <c r="F498" s="1">
        <v>118.87</v>
      </c>
      <c r="G498" s="4">
        <f t="shared" si="29"/>
        <v>2.1075703928510325E-3</v>
      </c>
      <c r="I498" s="3">
        <v>45287</v>
      </c>
      <c r="J498" s="1">
        <v>136.827</v>
      </c>
      <c r="K498" s="4">
        <f t="shared" si="30"/>
        <v>5.7407053496612015E-3</v>
      </c>
      <c r="M498" s="5">
        <v>45287</v>
      </c>
      <c r="N498" s="2">
        <v>21441.35</v>
      </c>
      <c r="O498" s="4">
        <f t="shared" si="31"/>
        <v>4.306912606443225E-3</v>
      </c>
    </row>
    <row r="499" spans="1:15" x14ac:dyDescent="0.25">
      <c r="A499" s="3">
        <v>45286</v>
      </c>
      <c r="B499" s="1">
        <v>344.76</v>
      </c>
      <c r="C499" s="4">
        <f t="shared" si="28"/>
        <v>3.2183533437701861E-3</v>
      </c>
      <c r="E499" s="3">
        <v>45286</v>
      </c>
      <c r="F499" s="1">
        <v>118.62</v>
      </c>
      <c r="G499" s="4">
        <f t="shared" si="29"/>
        <v>-8.4295709348314318E-5</v>
      </c>
      <c r="I499" s="3">
        <v>45286</v>
      </c>
      <c r="J499" s="1">
        <v>136.04599999999999</v>
      </c>
      <c r="K499" s="4">
        <f t="shared" si="30"/>
        <v>7.8825324858129431E-3</v>
      </c>
      <c r="M499" s="5">
        <v>45286</v>
      </c>
      <c r="N499" s="2">
        <v>21349.4</v>
      </c>
      <c r="O499" s="4">
        <f t="shared" si="31"/>
        <v>4.4389450977533329E-3</v>
      </c>
    </row>
    <row r="500" spans="1:15" x14ac:dyDescent="0.25">
      <c r="A500" s="3">
        <v>45282</v>
      </c>
      <c r="B500" s="1">
        <v>343.654</v>
      </c>
      <c r="C500" s="4">
        <f t="shared" si="28"/>
        <v>8.0313038989077157E-3</v>
      </c>
      <c r="E500" s="3">
        <v>45282</v>
      </c>
      <c r="F500" s="1">
        <v>118.63</v>
      </c>
      <c r="G500" s="4">
        <f t="shared" si="29"/>
        <v>5.5946427057727011E-3</v>
      </c>
      <c r="I500" s="3">
        <v>45282</v>
      </c>
      <c r="J500" s="1">
        <v>134.982</v>
      </c>
      <c r="K500" s="4">
        <f t="shared" si="30"/>
        <v>7.7495072567641543E-3</v>
      </c>
      <c r="M500" s="5">
        <v>45282</v>
      </c>
      <c r="N500" s="2">
        <v>21255.05</v>
      </c>
      <c r="O500" s="4">
        <f t="shared" si="31"/>
        <v>4.9597756989903097E-3</v>
      </c>
    </row>
    <row r="501" spans="1:15" x14ac:dyDescent="0.25">
      <c r="A501" s="3">
        <v>45281</v>
      </c>
      <c r="B501" s="1">
        <v>340.916</v>
      </c>
      <c r="C501" s="4">
        <f t="shared" si="28"/>
        <v>-1.8474763356142176E-3</v>
      </c>
      <c r="E501" s="3">
        <v>45281</v>
      </c>
      <c r="F501" s="1">
        <v>117.97</v>
      </c>
      <c r="G501" s="4">
        <f t="shared" si="29"/>
        <v>7.3435231833318682E-3</v>
      </c>
      <c r="I501" s="3">
        <v>45281</v>
      </c>
      <c r="J501" s="1">
        <v>133.94399999999999</v>
      </c>
      <c r="K501" s="4">
        <f t="shared" si="30"/>
        <v>9.1768003254824038E-3</v>
      </c>
      <c r="M501" s="5">
        <v>45281</v>
      </c>
      <c r="N501" s="2">
        <v>21150.15</v>
      </c>
      <c r="O501" s="4">
        <f t="shared" si="31"/>
        <v>-1.4121502253753415E-2</v>
      </c>
    </row>
    <row r="502" spans="1:15" x14ac:dyDescent="0.25">
      <c r="A502" s="3">
        <v>45280</v>
      </c>
      <c r="B502" s="1">
        <v>341.54700000000003</v>
      </c>
      <c r="C502" s="4">
        <f t="shared" si="28"/>
        <v>-1.1171909957913284E-3</v>
      </c>
      <c r="E502" s="3">
        <v>45280</v>
      </c>
      <c r="F502" s="1">
        <v>117.11</v>
      </c>
      <c r="G502" s="4">
        <f t="shared" si="29"/>
        <v>4.5462343455138221E-3</v>
      </c>
      <c r="I502" s="3">
        <v>45280</v>
      </c>
      <c r="J502" s="1">
        <v>132.726</v>
      </c>
      <c r="K502" s="4">
        <f t="shared" si="30"/>
        <v>-2.2384266931830599E-2</v>
      </c>
      <c r="M502" s="5">
        <v>45280</v>
      </c>
      <c r="N502" s="2">
        <v>21453.1</v>
      </c>
      <c r="O502" s="4">
        <f t="shared" si="31"/>
        <v>1.6084113611267714E-3</v>
      </c>
    </row>
    <row r="503" spans="1:15" x14ac:dyDescent="0.25">
      <c r="A503" s="3">
        <v>45279</v>
      </c>
      <c r="B503" s="1">
        <v>341.92899999999997</v>
      </c>
      <c r="C503" s="4">
        <f t="shared" si="28"/>
        <v>3.7369076135456147E-3</v>
      </c>
      <c r="E503" s="3">
        <v>45279</v>
      </c>
      <c r="F503" s="1">
        <v>116.58</v>
      </c>
      <c r="G503" s="4">
        <f t="shared" si="29"/>
        <v>8.3030617540218454E-3</v>
      </c>
      <c r="I503" s="3">
        <v>45279</v>
      </c>
      <c r="J503" s="1">
        <v>135.76499999999999</v>
      </c>
      <c r="K503" s="4">
        <f t="shared" si="30"/>
        <v>3.0883580722143034E-3</v>
      </c>
      <c r="M503" s="5">
        <v>45279</v>
      </c>
      <c r="N503" s="2">
        <v>21418.65</v>
      </c>
      <c r="O503" s="4">
        <f t="shared" si="31"/>
        <v>-1.7710127163373945E-3</v>
      </c>
    </row>
    <row r="504" spans="1:15" x14ac:dyDescent="0.25">
      <c r="A504" s="3">
        <v>45278</v>
      </c>
      <c r="B504" s="1">
        <v>340.65600000000001</v>
      </c>
      <c r="C504" s="4">
        <f t="shared" si="28"/>
        <v>3.1715742139530878E-3</v>
      </c>
      <c r="E504" s="3">
        <v>45278</v>
      </c>
      <c r="F504" s="1">
        <v>115.62</v>
      </c>
      <c r="G504" s="4">
        <f t="shared" si="29"/>
        <v>7.6695136831097521E-3</v>
      </c>
      <c r="I504" s="3">
        <v>45278</v>
      </c>
      <c r="J504" s="1">
        <v>135.34700000000001</v>
      </c>
      <c r="K504" s="4">
        <f t="shared" si="30"/>
        <v>2.1027224332350603E-3</v>
      </c>
      <c r="M504" s="5">
        <v>45278</v>
      </c>
      <c r="N504" s="2">
        <v>21456.65</v>
      </c>
      <c r="O504" s="4">
        <f t="shared" si="31"/>
        <v>1.2932723401643864E-2</v>
      </c>
    </row>
    <row r="505" spans="1:15" x14ac:dyDescent="0.25">
      <c r="A505" s="3">
        <v>45275</v>
      </c>
      <c r="B505" s="1">
        <v>339.57900000000001</v>
      </c>
      <c r="C505" s="4">
        <f t="shared" si="28"/>
        <v>7.2254206671946708E-3</v>
      </c>
      <c r="E505" s="3">
        <v>45275</v>
      </c>
      <c r="F505" s="1">
        <v>114.74</v>
      </c>
      <c r="G505" s="4">
        <f t="shared" si="29"/>
        <v>-2.0989761092150228E-2</v>
      </c>
      <c r="I505" s="3">
        <v>45275</v>
      </c>
      <c r="J505" s="1">
        <v>135.06299999999999</v>
      </c>
      <c r="K505" s="4">
        <f t="shared" si="30"/>
        <v>5.8685533420217428E-3</v>
      </c>
      <c r="M505" s="5">
        <v>45275</v>
      </c>
      <c r="N505" s="2">
        <v>21182.7</v>
      </c>
      <c r="O505" s="4">
        <f t="shared" si="31"/>
        <v>1.2250105727946048E-2</v>
      </c>
    </row>
    <row r="506" spans="1:15" x14ac:dyDescent="0.25">
      <c r="A506" s="3">
        <v>45274</v>
      </c>
      <c r="B506" s="1">
        <v>337.14299999999997</v>
      </c>
      <c r="C506" s="4">
        <f t="shared" si="28"/>
        <v>6.7275821911672029E-3</v>
      </c>
      <c r="E506" s="3">
        <v>45274</v>
      </c>
      <c r="F506" s="1">
        <v>117.2</v>
      </c>
      <c r="G506" s="4">
        <f t="shared" si="29"/>
        <v>-5.96913106506336E-4</v>
      </c>
      <c r="I506" s="3">
        <v>45274</v>
      </c>
      <c r="J506" s="1">
        <v>134.27500000000001</v>
      </c>
      <c r="K506" s="4">
        <f t="shared" si="30"/>
        <v>1.1190685975495107E-2</v>
      </c>
      <c r="M506" s="5">
        <v>45274</v>
      </c>
      <c r="N506" s="2">
        <v>20926.349999999999</v>
      </c>
      <c r="O506" s="4">
        <f t="shared" si="31"/>
        <v>9.5425324302600423E-4</v>
      </c>
    </row>
    <row r="507" spans="1:15" x14ac:dyDescent="0.25">
      <c r="A507" s="3">
        <v>45273</v>
      </c>
      <c r="B507" s="1">
        <v>334.89</v>
      </c>
      <c r="C507" s="4">
        <f t="shared" si="28"/>
        <v>6.2830717640378619E-3</v>
      </c>
      <c r="E507" s="3">
        <v>45273</v>
      </c>
      <c r="F507" s="1">
        <v>117.27</v>
      </c>
      <c r="G507" s="4">
        <f t="shared" si="29"/>
        <v>2.5588536335718892E-4</v>
      </c>
      <c r="I507" s="3">
        <v>45273</v>
      </c>
      <c r="J507" s="1">
        <v>132.78899999999999</v>
      </c>
      <c r="K507" s="4">
        <f t="shared" si="30"/>
        <v>7.7484670026104485E-3</v>
      </c>
      <c r="M507" s="5">
        <v>45273</v>
      </c>
      <c r="N507" s="2">
        <v>20906.400000000001</v>
      </c>
      <c r="O507" s="4">
        <f t="shared" si="31"/>
        <v>-4.3196441413336784E-3</v>
      </c>
    </row>
    <row r="508" spans="1:15" x14ac:dyDescent="0.25">
      <c r="A508" s="3">
        <v>45272</v>
      </c>
      <c r="B508" s="1">
        <v>332.79899999999998</v>
      </c>
      <c r="C508" s="4">
        <f t="shared" si="28"/>
        <v>6.9835487199347845E-3</v>
      </c>
      <c r="E508" s="3">
        <v>45272</v>
      </c>
      <c r="F508" s="1">
        <v>117.24</v>
      </c>
      <c r="G508" s="4">
        <f t="shared" si="29"/>
        <v>1.0254200775527744E-2</v>
      </c>
      <c r="I508" s="3">
        <v>45272</v>
      </c>
      <c r="J508" s="1">
        <v>131.768</v>
      </c>
      <c r="K508" s="4">
        <f t="shared" si="30"/>
        <v>-2.0448658719460777E-3</v>
      </c>
      <c r="M508" s="5">
        <v>45272</v>
      </c>
      <c r="N508" s="2">
        <v>20997.1</v>
      </c>
      <c r="O508" s="4">
        <f t="shared" si="31"/>
        <v>1.3209724646388032E-3</v>
      </c>
    </row>
    <row r="509" spans="1:15" x14ac:dyDescent="0.25">
      <c r="A509" s="3">
        <v>45271</v>
      </c>
      <c r="B509" s="1">
        <v>330.49099999999999</v>
      </c>
      <c r="C509" s="4">
        <f t="shared" si="28"/>
        <v>1.1895066226584872E-2</v>
      </c>
      <c r="E509" s="3">
        <v>45271</v>
      </c>
      <c r="F509" s="1">
        <v>116.05</v>
      </c>
      <c r="G509" s="4">
        <f t="shared" si="29"/>
        <v>1.1769834350479513E-2</v>
      </c>
      <c r="I509" s="3">
        <v>45271</v>
      </c>
      <c r="J509" s="1">
        <v>132.03800000000001</v>
      </c>
      <c r="K509" s="4">
        <f t="shared" si="30"/>
        <v>6.3335035478291335E-3</v>
      </c>
      <c r="M509" s="5">
        <v>45271</v>
      </c>
      <c r="N509" s="2">
        <v>20969.400000000001</v>
      </c>
      <c r="O509" s="4">
        <f t="shared" si="31"/>
        <v>3.2653705657343934E-3</v>
      </c>
    </row>
    <row r="510" spans="1:15" x14ac:dyDescent="0.25">
      <c r="A510" s="3">
        <v>45268</v>
      </c>
      <c r="B510" s="1">
        <v>326.60599999999999</v>
      </c>
      <c r="C510" s="4">
        <f t="shared" si="28"/>
        <v>-2.2313356881997315E-2</v>
      </c>
      <c r="E510" s="3">
        <v>45268</v>
      </c>
      <c r="F510" s="1">
        <v>114.7</v>
      </c>
      <c r="G510" s="4">
        <f t="shared" si="29"/>
        <v>5.6110818867263212E-3</v>
      </c>
      <c r="I510" s="3">
        <v>45268</v>
      </c>
      <c r="J510" s="1">
        <v>131.20699999999999</v>
      </c>
      <c r="K510" s="4">
        <f t="shared" si="30"/>
        <v>-6.0173971329779974E-4</v>
      </c>
      <c r="M510" s="5">
        <v>45268</v>
      </c>
      <c r="N510" s="2">
        <v>20901.150000000001</v>
      </c>
      <c r="O510" s="4">
        <f t="shared" si="31"/>
        <v>-1.7456549668778409E-3</v>
      </c>
    </row>
    <row r="511" spans="1:15" x14ac:dyDescent="0.25">
      <c r="A511" s="3">
        <v>45267</v>
      </c>
      <c r="B511" s="1">
        <v>334.06</v>
      </c>
      <c r="C511" s="4">
        <f t="shared" si="28"/>
        <v>-7.2688549010924142E-4</v>
      </c>
      <c r="E511" s="3">
        <v>45267</v>
      </c>
      <c r="F511" s="1">
        <v>114.06</v>
      </c>
      <c r="G511" s="4">
        <f t="shared" si="29"/>
        <v>-4.2776080314272935E-3</v>
      </c>
      <c r="I511" s="3">
        <v>45267</v>
      </c>
      <c r="J511" s="1">
        <v>131.286</v>
      </c>
      <c r="K511" s="4">
        <f t="shared" si="30"/>
        <v>1.0675125432724197E-3</v>
      </c>
      <c r="M511" s="5">
        <v>45267</v>
      </c>
      <c r="N511" s="2">
        <v>20937.7</v>
      </c>
      <c r="O511" s="4">
        <f t="shared" si="31"/>
        <v>1.2128507067308725E-2</v>
      </c>
    </row>
    <row r="512" spans="1:15" x14ac:dyDescent="0.25">
      <c r="A512" s="3">
        <v>45266</v>
      </c>
      <c r="B512" s="1">
        <v>334.303</v>
      </c>
      <c r="C512" s="4">
        <f t="shared" si="28"/>
        <v>1.3389006038531104E-3</v>
      </c>
      <c r="E512" s="3">
        <v>45266</v>
      </c>
      <c r="F512" s="1">
        <v>114.55</v>
      </c>
      <c r="G512" s="4">
        <f t="shared" si="29"/>
        <v>2.2749146906990703E-3</v>
      </c>
      <c r="I512" s="3">
        <v>45266</v>
      </c>
      <c r="J512" s="1">
        <v>131.14599999999999</v>
      </c>
      <c r="K512" s="4">
        <f t="shared" si="30"/>
        <v>1.1438942736652358E-4</v>
      </c>
      <c r="M512" s="5">
        <v>45266</v>
      </c>
      <c r="N512" s="2">
        <v>20686.8</v>
      </c>
      <c r="O512" s="4">
        <f t="shared" si="31"/>
        <v>2.0668150129021567E-2</v>
      </c>
    </row>
    <row r="513" spans="1:15" x14ac:dyDescent="0.25">
      <c r="A513" s="3">
        <v>45264</v>
      </c>
      <c r="B513" s="1">
        <v>333.85599999999999</v>
      </c>
      <c r="C513" s="4">
        <f t="shared" si="28"/>
        <v>6.6424847657038377E-3</v>
      </c>
      <c r="E513" s="3">
        <v>45264</v>
      </c>
      <c r="F513" s="1">
        <v>114.29</v>
      </c>
      <c r="G513" s="4">
        <f t="shared" si="29"/>
        <v>1.2264564169952585E-3</v>
      </c>
      <c r="I513" s="3">
        <v>45264</v>
      </c>
      <c r="J513" s="1">
        <v>131.131</v>
      </c>
      <c r="K513" s="4">
        <f t="shared" si="30"/>
        <v>2.7759084791385558E-3</v>
      </c>
      <c r="M513" s="5">
        <v>45264</v>
      </c>
      <c r="N513" s="2">
        <v>20267.900000000001</v>
      </c>
      <c r="O513" s="4">
        <f t="shared" si="31"/>
        <v>6.6929417403636116E-3</v>
      </c>
    </row>
    <row r="514" spans="1:15" x14ac:dyDescent="0.25">
      <c r="A514" s="3">
        <v>45261</v>
      </c>
      <c r="B514" s="1">
        <v>331.65300000000002</v>
      </c>
      <c r="C514" s="4">
        <f t="shared" si="28"/>
        <v>8.907141227469717E-3</v>
      </c>
      <c r="E514" s="3">
        <v>45261</v>
      </c>
      <c r="F514" s="1">
        <v>114.15</v>
      </c>
      <c r="G514" s="4">
        <f t="shared" si="29"/>
        <v>3.4282700421941481E-3</v>
      </c>
      <c r="I514" s="3">
        <v>45261</v>
      </c>
      <c r="J514" s="1">
        <v>130.768</v>
      </c>
      <c r="K514" s="4">
        <f t="shared" si="30"/>
        <v>1.666083576287658E-2</v>
      </c>
      <c r="M514" s="5">
        <v>45261</v>
      </c>
      <c r="N514" s="2">
        <v>20133.150000000001</v>
      </c>
      <c r="O514" s="4">
        <f t="shared" si="31"/>
        <v>1.8187156036346686E-3</v>
      </c>
    </row>
    <row r="515" spans="1:15" x14ac:dyDescent="0.25">
      <c r="A515" s="3">
        <v>45260</v>
      </c>
      <c r="B515" s="1">
        <v>328.72500000000002</v>
      </c>
      <c r="C515" s="4">
        <f t="shared" ref="C515:C578" si="32">(B515/B516)-1</f>
        <v>5.7119605455580036E-3</v>
      </c>
      <c r="E515" s="3">
        <v>45260</v>
      </c>
      <c r="F515" s="1">
        <v>113.76</v>
      </c>
      <c r="G515" s="4">
        <f t="shared" ref="G515:G578" si="33">(F515/F516)-1</f>
        <v>3.2630743451804722E-3</v>
      </c>
      <c r="I515" s="3">
        <v>45260</v>
      </c>
      <c r="J515" s="1">
        <v>128.625</v>
      </c>
      <c r="K515" s="4">
        <f t="shared" ref="K515:K578" si="34">(J515/J516)-1</f>
        <v>8.9976309637742613E-3</v>
      </c>
      <c r="M515" s="5">
        <v>45260</v>
      </c>
      <c r="N515" s="2">
        <v>20096.599999999999</v>
      </c>
      <c r="O515" s="4">
        <f t="shared" ref="O515:O578" si="35">(N515/N516)-1</f>
        <v>1.04023690653956E-2</v>
      </c>
    </row>
    <row r="516" spans="1:15" x14ac:dyDescent="0.25">
      <c r="A516" s="3">
        <v>45259</v>
      </c>
      <c r="B516" s="1">
        <v>326.858</v>
      </c>
      <c r="C516" s="4">
        <f t="shared" si="32"/>
        <v>-2.1735812192813508E-3</v>
      </c>
      <c r="E516" s="3">
        <v>45259</v>
      </c>
      <c r="F516" s="1">
        <v>113.39</v>
      </c>
      <c r="G516" s="4">
        <f t="shared" si="33"/>
        <v>6.1224489795919101E-3</v>
      </c>
      <c r="I516" s="3">
        <v>45259</v>
      </c>
      <c r="J516" s="1">
        <v>127.47799999999999</v>
      </c>
      <c r="K516" s="4">
        <f t="shared" si="34"/>
        <v>1.6319729572434216E-2</v>
      </c>
      <c r="M516" s="5">
        <v>45259</v>
      </c>
      <c r="N516" s="2">
        <v>19889.7</v>
      </c>
      <c r="O516" s="4">
        <f t="shared" si="35"/>
        <v>4.7992644495749026E-3</v>
      </c>
    </row>
    <row r="517" spans="1:15" x14ac:dyDescent="0.25">
      <c r="A517" s="3">
        <v>45258</v>
      </c>
      <c r="B517" s="1">
        <v>327.57</v>
      </c>
      <c r="C517" s="4">
        <f t="shared" si="32"/>
        <v>3.7536962417072939E-3</v>
      </c>
      <c r="E517" s="3">
        <v>45258</v>
      </c>
      <c r="F517" s="1">
        <v>112.7</v>
      </c>
      <c r="G517" s="4">
        <f t="shared" si="33"/>
        <v>1.5956008293518398E-2</v>
      </c>
      <c r="I517" s="3">
        <v>45258</v>
      </c>
      <c r="J517" s="1">
        <v>125.431</v>
      </c>
      <c r="K517" s="4">
        <f t="shared" si="34"/>
        <v>9.5619069082362174E-3</v>
      </c>
      <c r="M517" s="5">
        <v>45258</v>
      </c>
      <c r="N517" s="2">
        <v>19794.7</v>
      </c>
      <c r="O517" s="4">
        <f t="shared" si="35"/>
        <v>-3.6864963135030404E-4</v>
      </c>
    </row>
    <row r="518" spans="1:15" x14ac:dyDescent="0.25">
      <c r="A518" s="3">
        <v>45254</v>
      </c>
      <c r="B518" s="1">
        <v>326.34500000000003</v>
      </c>
      <c r="C518" s="4">
        <f t="shared" si="32"/>
        <v>-3.8612984951619245E-3</v>
      </c>
      <c r="E518" s="3">
        <v>45254</v>
      </c>
      <c r="F518" s="1">
        <v>110.93</v>
      </c>
      <c r="G518" s="4">
        <f t="shared" si="33"/>
        <v>6.6243194192376897E-3</v>
      </c>
      <c r="I518" s="3">
        <v>45254</v>
      </c>
      <c r="J518" s="1">
        <v>124.24299999999999</v>
      </c>
      <c r="K518" s="4">
        <f t="shared" si="34"/>
        <v>5.6172045099514012E-3</v>
      </c>
      <c r="M518" s="5">
        <v>45254</v>
      </c>
      <c r="N518" s="2">
        <v>19802</v>
      </c>
      <c r="O518" s="4">
        <f t="shared" si="35"/>
        <v>-4.971771944567438E-4</v>
      </c>
    </row>
    <row r="519" spans="1:15" x14ac:dyDescent="0.25">
      <c r="A519" s="3">
        <v>45253</v>
      </c>
      <c r="B519" s="1">
        <v>327.61</v>
      </c>
      <c r="C519" s="4">
        <f t="shared" si="32"/>
        <v>4.8954952854785017E-3</v>
      </c>
      <c r="E519" s="3">
        <v>45253</v>
      </c>
      <c r="F519" s="1">
        <v>110.2</v>
      </c>
      <c r="G519" s="4">
        <f t="shared" si="33"/>
        <v>6.4846104667093396E-3</v>
      </c>
      <c r="I519" s="3">
        <v>45253</v>
      </c>
      <c r="J519" s="1">
        <v>123.54900000000001</v>
      </c>
      <c r="K519" s="4">
        <f t="shared" si="34"/>
        <v>-1.8178292694749354E-3</v>
      </c>
      <c r="M519" s="5">
        <v>45253</v>
      </c>
      <c r="N519" s="2">
        <v>19811.849999999999</v>
      </c>
      <c r="O519" s="4">
        <f t="shared" si="35"/>
        <v>1.4380743451578581E-3</v>
      </c>
    </row>
    <row r="520" spans="1:15" x14ac:dyDescent="0.25">
      <c r="A520" s="3">
        <v>45252</v>
      </c>
      <c r="B520" s="1">
        <v>326.01400000000001</v>
      </c>
      <c r="C520" s="4">
        <f t="shared" si="32"/>
        <v>1.0009820839387507E-2</v>
      </c>
      <c r="E520" s="3">
        <v>45252</v>
      </c>
      <c r="F520" s="1">
        <v>109.49</v>
      </c>
      <c r="G520" s="4">
        <f t="shared" si="33"/>
        <v>9.4965886040936365E-3</v>
      </c>
      <c r="I520" s="3">
        <v>45252</v>
      </c>
      <c r="J520" s="1">
        <v>123.774</v>
      </c>
      <c r="K520" s="4">
        <f t="shared" si="34"/>
        <v>6.0631047947024008E-4</v>
      </c>
      <c r="M520" s="5">
        <v>45252</v>
      </c>
      <c r="N520" s="2">
        <v>19783.400000000001</v>
      </c>
      <c r="O520" s="4">
        <f t="shared" si="35"/>
        <v>4.5394536407028507E-3</v>
      </c>
    </row>
    <row r="521" spans="1:15" x14ac:dyDescent="0.25">
      <c r="A521" s="3">
        <v>45251</v>
      </c>
      <c r="B521" s="1">
        <v>322.78300000000002</v>
      </c>
      <c r="C521" s="4">
        <f t="shared" si="32"/>
        <v>1.520688917684665E-2</v>
      </c>
      <c r="E521" s="3">
        <v>45251</v>
      </c>
      <c r="F521" s="1">
        <v>108.46</v>
      </c>
      <c r="G521" s="4">
        <f t="shared" si="33"/>
        <v>5.0968399592252744E-3</v>
      </c>
      <c r="I521" s="3">
        <v>45251</v>
      </c>
      <c r="J521" s="1">
        <v>123.699</v>
      </c>
      <c r="K521" s="4">
        <f t="shared" si="34"/>
        <v>-7.5933211086254282E-4</v>
      </c>
      <c r="M521" s="5">
        <v>45251</v>
      </c>
      <c r="N521" s="2">
        <v>19694</v>
      </c>
      <c r="O521" s="4">
        <f t="shared" si="35"/>
        <v>-1.915689394784037E-3</v>
      </c>
    </row>
    <row r="522" spans="1:15" x14ac:dyDescent="0.25">
      <c r="A522" s="3">
        <v>45250</v>
      </c>
      <c r="B522" s="1">
        <v>317.94799999999998</v>
      </c>
      <c r="C522" s="4">
        <f t="shared" si="32"/>
        <v>5.683992775604052E-3</v>
      </c>
      <c r="E522" s="3">
        <v>45250</v>
      </c>
      <c r="F522" s="1">
        <v>107.91</v>
      </c>
      <c r="G522" s="4">
        <f t="shared" si="33"/>
        <v>2.6946664188811642E-3</v>
      </c>
      <c r="I522" s="3">
        <v>45250</v>
      </c>
      <c r="J522" s="1">
        <v>123.79300000000001</v>
      </c>
      <c r="K522" s="4">
        <f t="shared" si="34"/>
        <v>3.1847649918963494E-3</v>
      </c>
      <c r="M522" s="5">
        <v>45250</v>
      </c>
      <c r="N522" s="2">
        <v>19731.8</v>
      </c>
      <c r="O522" s="4">
        <f t="shared" si="35"/>
        <v>-1.6898387064133713E-3</v>
      </c>
    </row>
    <row r="523" spans="1:15" x14ac:dyDescent="0.25">
      <c r="A523" s="3">
        <v>45247</v>
      </c>
      <c r="B523" s="1">
        <v>316.15100000000001</v>
      </c>
      <c r="C523" s="4">
        <f t="shared" si="32"/>
        <v>5.8508742905138966E-3</v>
      </c>
      <c r="E523" s="3">
        <v>45247</v>
      </c>
      <c r="F523" s="1">
        <v>107.62</v>
      </c>
      <c r="G523" s="4">
        <f t="shared" si="33"/>
        <v>8.3697572770402573E-4</v>
      </c>
      <c r="I523" s="3">
        <v>45247</v>
      </c>
      <c r="J523" s="1">
        <v>123.4</v>
      </c>
      <c r="K523" s="4">
        <f t="shared" si="34"/>
        <v>1.3307799668929032E-3</v>
      </c>
      <c r="M523" s="5">
        <v>45247</v>
      </c>
      <c r="N523" s="2">
        <v>19765.2</v>
      </c>
      <c r="O523" s="4">
        <f t="shared" si="35"/>
        <v>4.5615220998758144E-3</v>
      </c>
    </row>
    <row r="524" spans="1:15" x14ac:dyDescent="0.25">
      <c r="A524" s="3">
        <v>45246</v>
      </c>
      <c r="B524" s="1">
        <v>314.31200000000001</v>
      </c>
      <c r="C524" s="4">
        <f t="shared" si="32"/>
        <v>9.296216969529647E-3</v>
      </c>
      <c r="E524" s="3">
        <v>45246</v>
      </c>
      <c r="F524" s="1">
        <v>107.53</v>
      </c>
      <c r="G524" s="4">
        <f t="shared" si="33"/>
        <v>0</v>
      </c>
      <c r="I524" s="3">
        <v>45246</v>
      </c>
      <c r="J524" s="1">
        <v>123.236</v>
      </c>
      <c r="K524" s="4">
        <f t="shared" si="34"/>
        <v>1.7395262635950814E-3</v>
      </c>
      <c r="M524" s="5">
        <v>45246</v>
      </c>
      <c r="N524" s="2">
        <v>19675.45</v>
      </c>
      <c r="O524" s="4">
        <f t="shared" si="35"/>
        <v>1.1926834348665816E-2</v>
      </c>
    </row>
    <row r="525" spans="1:15" x14ac:dyDescent="0.25">
      <c r="A525" s="3">
        <v>45245</v>
      </c>
      <c r="B525" s="1">
        <v>311.41699999999997</v>
      </c>
      <c r="C525" s="4">
        <f t="shared" si="32"/>
        <v>6.8640193472877531E-3</v>
      </c>
      <c r="E525" s="3">
        <v>45245</v>
      </c>
      <c r="F525" s="1">
        <v>107.53</v>
      </c>
      <c r="G525" s="4">
        <f t="shared" si="33"/>
        <v>1.3036595586182198E-3</v>
      </c>
      <c r="I525" s="3">
        <v>45245</v>
      </c>
      <c r="J525" s="1">
        <v>123.02200000000001</v>
      </c>
      <c r="K525" s="4">
        <f t="shared" si="34"/>
        <v>4.8928714375566784E-3</v>
      </c>
      <c r="M525" s="5">
        <v>45245</v>
      </c>
      <c r="N525" s="2">
        <v>19443.55</v>
      </c>
      <c r="O525" s="4">
        <f t="shared" si="35"/>
        <v>9.3692005549450563E-4</v>
      </c>
    </row>
    <row r="526" spans="1:15" x14ac:dyDescent="0.25">
      <c r="A526" s="3">
        <v>45243</v>
      </c>
      <c r="B526" s="1">
        <v>309.29399999999998</v>
      </c>
      <c r="C526" s="4">
        <f t="shared" si="32"/>
        <v>5.2728454926875834E-4</v>
      </c>
      <c r="E526" s="3">
        <v>45243</v>
      </c>
      <c r="F526" s="1">
        <v>107.39</v>
      </c>
      <c r="G526" s="4">
        <f t="shared" si="33"/>
        <v>-2.5078952257104881E-3</v>
      </c>
      <c r="I526" s="3">
        <v>45243</v>
      </c>
      <c r="J526" s="1">
        <v>122.423</v>
      </c>
      <c r="K526" s="4">
        <f t="shared" si="34"/>
        <v>1.0699513733519517E-2</v>
      </c>
      <c r="M526" s="5">
        <v>45243</v>
      </c>
      <c r="N526" s="2">
        <v>19425.349999999999</v>
      </c>
      <c r="O526" s="4">
        <f t="shared" si="35"/>
        <v>1.549344428804833E-3</v>
      </c>
    </row>
    <row r="527" spans="1:15" x14ac:dyDescent="0.25">
      <c r="A527" s="3">
        <v>45240</v>
      </c>
      <c r="B527" s="1">
        <v>309.13099999999997</v>
      </c>
      <c r="C527" s="4">
        <f t="shared" si="32"/>
        <v>1.067622566304216E-4</v>
      </c>
      <c r="E527" s="3">
        <v>45240</v>
      </c>
      <c r="F527" s="1">
        <v>107.66</v>
      </c>
      <c r="G527" s="4">
        <f t="shared" si="33"/>
        <v>-2.8711679170140281E-3</v>
      </c>
      <c r="I527" s="3">
        <v>45240</v>
      </c>
      <c r="J527" s="1">
        <v>121.127</v>
      </c>
      <c r="K527" s="4">
        <f t="shared" si="34"/>
        <v>7.9469427154412742E-3</v>
      </c>
      <c r="M527" s="5">
        <v>45240</v>
      </c>
      <c r="N527" s="2">
        <v>19395.3</v>
      </c>
      <c r="O527" s="4">
        <f t="shared" si="35"/>
        <v>-2.4789775503382128E-3</v>
      </c>
    </row>
    <row r="528" spans="1:15" x14ac:dyDescent="0.25">
      <c r="A528" s="3">
        <v>45239</v>
      </c>
      <c r="B528" s="1">
        <v>309.09800000000001</v>
      </c>
      <c r="C528" s="4">
        <f t="shared" si="32"/>
        <v>-5.8200065960078984E-4</v>
      </c>
      <c r="E528" s="3">
        <v>45239</v>
      </c>
      <c r="F528" s="1">
        <v>107.97</v>
      </c>
      <c r="G528" s="4">
        <f t="shared" si="33"/>
        <v>7.9350261389095067E-3</v>
      </c>
      <c r="I528" s="3">
        <v>45239</v>
      </c>
      <c r="J528" s="1">
        <v>120.172</v>
      </c>
      <c r="K528" s="4">
        <f t="shared" si="34"/>
        <v>4.3879077619997098E-3</v>
      </c>
      <c r="M528" s="5">
        <v>45239</v>
      </c>
      <c r="N528" s="2">
        <v>19443.5</v>
      </c>
      <c r="O528" s="4">
        <f t="shared" si="35"/>
        <v>1.8962523252279428E-3</v>
      </c>
    </row>
    <row r="529" spans="1:15" x14ac:dyDescent="0.25">
      <c r="A529" s="3">
        <v>45238</v>
      </c>
      <c r="B529" s="1">
        <v>309.27800000000002</v>
      </c>
      <c r="C529" s="4">
        <f t="shared" si="32"/>
        <v>4.1069695110271809E-3</v>
      </c>
      <c r="E529" s="3">
        <v>45238</v>
      </c>
      <c r="F529" s="1">
        <v>107.12</v>
      </c>
      <c r="G529" s="4">
        <f t="shared" si="33"/>
        <v>1.0661383149353831E-2</v>
      </c>
      <c r="I529" s="3">
        <v>45238</v>
      </c>
      <c r="J529" s="1">
        <v>119.64700000000001</v>
      </c>
      <c r="K529" s="4">
        <f t="shared" si="34"/>
        <v>1.5318422286212385E-3</v>
      </c>
      <c r="M529" s="5">
        <v>45238</v>
      </c>
      <c r="N529" s="2">
        <v>19406.7</v>
      </c>
      <c r="O529" s="4">
        <f t="shared" si="35"/>
        <v>-2.6015171223614519E-4</v>
      </c>
    </row>
    <row r="530" spans="1:15" x14ac:dyDescent="0.25">
      <c r="A530" s="3">
        <v>45237</v>
      </c>
      <c r="B530" s="1">
        <v>308.01299999999998</v>
      </c>
      <c r="C530" s="4">
        <f t="shared" si="32"/>
        <v>-1.021639293220189E-3</v>
      </c>
      <c r="E530" s="3">
        <v>45237</v>
      </c>
      <c r="F530" s="1">
        <v>105.99</v>
      </c>
      <c r="G530" s="4">
        <f t="shared" si="33"/>
        <v>4.5493318168892127E-3</v>
      </c>
      <c r="I530" s="3">
        <v>45237</v>
      </c>
      <c r="J530" s="1">
        <v>119.464</v>
      </c>
      <c r="K530" s="4">
        <f t="shared" si="34"/>
        <v>3.3342571829306777E-3</v>
      </c>
      <c r="M530" s="5">
        <v>45237</v>
      </c>
      <c r="N530" s="2">
        <v>19411.75</v>
      </c>
      <c r="O530" s="4">
        <f t="shared" si="35"/>
        <v>9.4198828949696445E-3</v>
      </c>
    </row>
    <row r="531" spans="1:15" x14ac:dyDescent="0.25">
      <c r="A531" s="3">
        <v>45236</v>
      </c>
      <c r="B531" s="1">
        <v>308.32799999999997</v>
      </c>
      <c r="C531" s="4">
        <f t="shared" si="32"/>
        <v>6.1660684498510143E-4</v>
      </c>
      <c r="E531" s="3">
        <v>45236</v>
      </c>
      <c r="F531" s="1">
        <v>105.51</v>
      </c>
      <c r="G531" s="4">
        <f t="shared" si="33"/>
        <v>2.2798518096325271E-3</v>
      </c>
      <c r="I531" s="3">
        <v>45236</v>
      </c>
      <c r="J531" s="1">
        <v>119.06699999999999</v>
      </c>
      <c r="K531" s="4">
        <f t="shared" si="34"/>
        <v>2.3993534373893954E-3</v>
      </c>
      <c r="M531" s="5">
        <v>45236</v>
      </c>
      <c r="N531" s="2">
        <v>19230.599999999999</v>
      </c>
      <c r="O531" s="4">
        <f t="shared" si="35"/>
        <v>5.0880012543608188E-3</v>
      </c>
    </row>
    <row r="532" spans="1:15" x14ac:dyDescent="0.25">
      <c r="A532" s="3">
        <v>45233</v>
      </c>
      <c r="B532" s="1">
        <v>308.13799999999998</v>
      </c>
      <c r="C532" s="4">
        <f t="shared" si="32"/>
        <v>4.9245339629779838E-3</v>
      </c>
      <c r="E532" s="3">
        <v>45233</v>
      </c>
      <c r="F532" s="1">
        <v>105.27</v>
      </c>
      <c r="G532" s="4">
        <f t="shared" si="33"/>
        <v>3.8011973771734375E-4</v>
      </c>
      <c r="I532" s="3">
        <v>45233</v>
      </c>
      <c r="J532" s="1">
        <v>118.782</v>
      </c>
      <c r="K532" s="4">
        <f t="shared" si="34"/>
        <v>6.8489667214808314E-3</v>
      </c>
      <c r="M532" s="5">
        <v>45233</v>
      </c>
      <c r="N532" s="2">
        <v>19133.25</v>
      </c>
      <c r="O532" s="4">
        <f t="shared" si="35"/>
        <v>7.5885439843277336E-3</v>
      </c>
    </row>
    <row r="533" spans="1:15" x14ac:dyDescent="0.25">
      <c r="A533" s="3">
        <v>45232</v>
      </c>
      <c r="B533" s="1">
        <v>306.62799999999999</v>
      </c>
      <c r="C533" s="4">
        <f t="shared" si="32"/>
        <v>1.0992634209710639E-2</v>
      </c>
      <c r="E533" s="3">
        <v>45232</v>
      </c>
      <c r="F533" s="1">
        <v>105.23</v>
      </c>
      <c r="G533" s="4">
        <f t="shared" si="33"/>
        <v>2.3814059820919109E-3</v>
      </c>
      <c r="I533" s="3">
        <v>45232</v>
      </c>
      <c r="J533" s="1">
        <v>117.974</v>
      </c>
      <c r="K533" s="4">
        <f t="shared" si="34"/>
        <v>8.0232409108387248E-3</v>
      </c>
      <c r="M533" s="5">
        <v>45232</v>
      </c>
      <c r="N533" s="2">
        <v>18989.150000000001</v>
      </c>
      <c r="O533" s="4">
        <f t="shared" si="35"/>
        <v>-4.740665422755086E-3</v>
      </c>
    </row>
    <row r="534" spans="1:15" x14ac:dyDescent="0.25">
      <c r="A534" s="3">
        <v>45231</v>
      </c>
      <c r="B534" s="1">
        <v>303.29399999999998</v>
      </c>
      <c r="C534" s="4">
        <f t="shared" si="32"/>
        <v>6.0770511706285113E-3</v>
      </c>
      <c r="E534" s="3">
        <v>45231</v>
      </c>
      <c r="F534" s="1">
        <v>104.98</v>
      </c>
      <c r="G534" s="4">
        <f t="shared" si="33"/>
        <v>2.6743075453676823E-3</v>
      </c>
      <c r="I534" s="3">
        <v>45231</v>
      </c>
      <c r="J534" s="1">
        <v>117.035</v>
      </c>
      <c r="K534" s="4">
        <f t="shared" si="34"/>
        <v>1.0839523233719062E-2</v>
      </c>
      <c r="M534" s="5">
        <v>45231</v>
      </c>
      <c r="N534" s="2">
        <v>19079.599999999999</v>
      </c>
      <c r="O534" s="4">
        <f t="shared" si="35"/>
        <v>-3.2025662325179116E-3</v>
      </c>
    </row>
    <row r="535" spans="1:15" x14ac:dyDescent="0.25">
      <c r="A535" s="3">
        <v>45230</v>
      </c>
      <c r="B535" s="1">
        <v>301.46199999999999</v>
      </c>
      <c r="C535" s="4">
        <f t="shared" si="32"/>
        <v>2.6541255354814997E-3</v>
      </c>
      <c r="E535" s="3">
        <v>45230</v>
      </c>
      <c r="F535" s="1">
        <v>104.7</v>
      </c>
      <c r="G535" s="4">
        <f t="shared" si="33"/>
        <v>8.9621277825961965E-3</v>
      </c>
      <c r="I535" s="3">
        <v>45230</v>
      </c>
      <c r="J535" s="1">
        <v>115.78</v>
      </c>
      <c r="K535" s="4">
        <f t="shared" si="34"/>
        <v>-2.97093649085034E-3</v>
      </c>
      <c r="M535" s="5">
        <v>45230</v>
      </c>
      <c r="N535" s="2">
        <v>19140.900000000001</v>
      </c>
      <c r="O535" s="4">
        <f t="shared" si="35"/>
        <v>4.9167202614550654E-3</v>
      </c>
    </row>
    <row r="536" spans="1:15" x14ac:dyDescent="0.25">
      <c r="A536" s="3">
        <v>45229</v>
      </c>
      <c r="B536" s="1">
        <v>300.66399999999999</v>
      </c>
      <c r="C536" s="4">
        <f t="shared" si="32"/>
        <v>-1.8889032742097633E-3</v>
      </c>
      <c r="E536" s="3">
        <v>45229</v>
      </c>
      <c r="F536" s="1">
        <v>103.77</v>
      </c>
      <c r="G536" s="4">
        <f t="shared" si="33"/>
        <v>8.1608860390556259E-3</v>
      </c>
      <c r="I536" s="3">
        <v>45229</v>
      </c>
      <c r="J536" s="1">
        <v>116.125</v>
      </c>
      <c r="K536" s="4">
        <f t="shared" si="34"/>
        <v>5.0833146657924821E-4</v>
      </c>
      <c r="M536" s="5">
        <v>45229</v>
      </c>
      <c r="N536" s="2">
        <v>19047.25</v>
      </c>
      <c r="O536" s="4">
        <f t="shared" si="35"/>
        <v>1.0075700327460302E-2</v>
      </c>
    </row>
    <row r="537" spans="1:15" x14ac:dyDescent="0.25">
      <c r="A537" s="3">
        <v>45226</v>
      </c>
      <c r="B537" s="1">
        <v>301.233</v>
      </c>
      <c r="C537" s="4">
        <f t="shared" si="32"/>
        <v>2.9165293300970063E-3</v>
      </c>
      <c r="E537" s="3">
        <v>45226</v>
      </c>
      <c r="F537" s="1">
        <v>102.93</v>
      </c>
      <c r="G537" s="4">
        <f t="shared" si="33"/>
        <v>1.0901591043017245E-2</v>
      </c>
      <c r="I537" s="3">
        <v>45226</v>
      </c>
      <c r="J537" s="1">
        <v>116.066</v>
      </c>
      <c r="K537" s="4">
        <f t="shared" si="34"/>
        <v>1.1040383653331265E-3</v>
      </c>
      <c r="M537" s="5">
        <v>45226</v>
      </c>
      <c r="N537" s="2">
        <v>18857.25</v>
      </c>
      <c r="O537" s="4">
        <f t="shared" si="35"/>
        <v>-1.3853044767455636E-2</v>
      </c>
    </row>
    <row r="538" spans="1:15" x14ac:dyDescent="0.25">
      <c r="A538" s="3">
        <v>45225</v>
      </c>
      <c r="B538" s="1">
        <v>300.35700000000003</v>
      </c>
      <c r="C538" s="4">
        <f t="shared" si="32"/>
        <v>4.8879877950860351E-3</v>
      </c>
      <c r="E538" s="3">
        <v>45225</v>
      </c>
      <c r="F538" s="1">
        <v>101.82</v>
      </c>
      <c r="G538" s="4">
        <f t="shared" si="33"/>
        <v>-9.8116169544748555E-4</v>
      </c>
      <c r="I538" s="3">
        <v>45225</v>
      </c>
      <c r="J538" s="1">
        <v>115.938</v>
      </c>
      <c r="K538" s="4">
        <f t="shared" si="34"/>
        <v>1.574368544169058E-2</v>
      </c>
      <c r="M538" s="5">
        <v>45225</v>
      </c>
      <c r="N538" s="2">
        <v>19122.150000000001</v>
      </c>
      <c r="O538" s="4">
        <f t="shared" si="35"/>
        <v>-8.2772569917148875E-3</v>
      </c>
    </row>
    <row r="539" spans="1:15" x14ac:dyDescent="0.25">
      <c r="A539" s="3">
        <v>45224</v>
      </c>
      <c r="B539" s="1">
        <v>298.89600000000002</v>
      </c>
      <c r="C539" s="4">
        <f t="shared" si="32"/>
        <v>8.6014030848973189E-3</v>
      </c>
      <c r="E539" s="3">
        <v>45224</v>
      </c>
      <c r="F539" s="1">
        <v>101.92</v>
      </c>
      <c r="G539" s="4">
        <f t="shared" si="33"/>
        <v>-3.8119440914866631E-3</v>
      </c>
      <c r="I539" s="3">
        <v>45224</v>
      </c>
      <c r="J539" s="1">
        <v>114.14100000000001</v>
      </c>
      <c r="K539" s="4">
        <f t="shared" si="34"/>
        <v>-1.1826123092106955E-2</v>
      </c>
      <c r="M539" s="5">
        <v>45224</v>
      </c>
      <c r="N539" s="2">
        <v>19281.75</v>
      </c>
      <c r="O539" s="4">
        <f t="shared" si="35"/>
        <v>-1.3350287704072983E-2</v>
      </c>
    </row>
    <row r="540" spans="1:15" x14ac:dyDescent="0.25">
      <c r="A540" s="3">
        <v>45222</v>
      </c>
      <c r="B540" s="1">
        <v>296.34699999999998</v>
      </c>
      <c r="C540" s="4">
        <f t="shared" si="32"/>
        <v>8.1030054598336676E-3</v>
      </c>
      <c r="E540" s="3">
        <v>45222</v>
      </c>
      <c r="F540" s="1">
        <v>102.31</v>
      </c>
      <c r="G540" s="4">
        <f t="shared" si="33"/>
        <v>6.8466353677631986E-4</v>
      </c>
      <c r="I540" s="3">
        <v>45222</v>
      </c>
      <c r="J540" s="1">
        <v>115.50700000000001</v>
      </c>
      <c r="K540" s="4">
        <f t="shared" si="34"/>
        <v>-6.6648320462323607E-3</v>
      </c>
      <c r="M540" s="5">
        <v>45222</v>
      </c>
      <c r="N540" s="2">
        <v>19542.650000000001</v>
      </c>
      <c r="O540" s="4">
        <f t="shared" si="35"/>
        <v>-4.1809556324428065E-3</v>
      </c>
    </row>
    <row r="541" spans="1:15" x14ac:dyDescent="0.25">
      <c r="A541" s="3">
        <v>45219</v>
      </c>
      <c r="B541" s="1">
        <v>293.96499999999997</v>
      </c>
      <c r="C541" s="4">
        <f t="shared" si="32"/>
        <v>9.276839145377247E-3</v>
      </c>
      <c r="E541" s="3">
        <v>45219</v>
      </c>
      <c r="F541" s="1">
        <v>102.24</v>
      </c>
      <c r="G541" s="4">
        <f t="shared" si="33"/>
        <v>1.3079667063020217E-2</v>
      </c>
      <c r="I541" s="3">
        <v>45219</v>
      </c>
      <c r="J541" s="1">
        <v>116.282</v>
      </c>
      <c r="K541" s="4">
        <f t="shared" si="34"/>
        <v>-1.5910360352736186E-2</v>
      </c>
      <c r="M541" s="5">
        <v>45219</v>
      </c>
      <c r="N541" s="2">
        <v>19624.7</v>
      </c>
      <c r="O541" s="4">
        <f t="shared" si="35"/>
        <v>-2.358790306591807E-3</v>
      </c>
    </row>
    <row r="542" spans="1:15" x14ac:dyDescent="0.25">
      <c r="A542" s="3">
        <v>45218</v>
      </c>
      <c r="B542" s="1">
        <v>291.26299999999998</v>
      </c>
      <c r="C542" s="4">
        <f t="shared" si="32"/>
        <v>-2.7596218701746444E-3</v>
      </c>
      <c r="E542" s="3">
        <v>45218</v>
      </c>
      <c r="F542" s="1">
        <v>100.92</v>
      </c>
      <c r="G542" s="4">
        <f t="shared" si="33"/>
        <v>-1.0394194940184343E-2</v>
      </c>
      <c r="I542" s="3">
        <v>45218</v>
      </c>
      <c r="J542" s="1">
        <v>118.16200000000001</v>
      </c>
      <c r="K542" s="4">
        <f t="shared" si="34"/>
        <v>-7.2839392080921161E-3</v>
      </c>
      <c r="M542" s="5">
        <v>45218</v>
      </c>
      <c r="N542" s="2">
        <v>19671.099999999999</v>
      </c>
      <c r="O542" s="4">
        <f t="shared" si="35"/>
        <v>-7.0867930242536348E-3</v>
      </c>
    </row>
    <row r="543" spans="1:15" x14ac:dyDescent="0.25">
      <c r="A543" s="3">
        <v>45217</v>
      </c>
      <c r="B543" s="1">
        <v>292.06900000000002</v>
      </c>
      <c r="C543" s="4">
        <f t="shared" si="32"/>
        <v>-5.9881468909550595E-4</v>
      </c>
      <c r="E543" s="3">
        <v>45217</v>
      </c>
      <c r="F543" s="1">
        <v>101.98</v>
      </c>
      <c r="G543" s="4">
        <f t="shared" si="33"/>
        <v>-6.817296455005839E-3</v>
      </c>
      <c r="I543" s="3">
        <v>45217</v>
      </c>
      <c r="J543" s="1">
        <v>119.029</v>
      </c>
      <c r="K543" s="4">
        <f t="shared" si="34"/>
        <v>-7.2199135289430227E-4</v>
      </c>
      <c r="M543" s="5">
        <v>45217</v>
      </c>
      <c r="N543" s="2">
        <v>19811.5</v>
      </c>
      <c r="O543" s="4">
        <f t="shared" si="35"/>
        <v>4.0417094276989918E-3</v>
      </c>
    </row>
    <row r="544" spans="1:15" x14ac:dyDescent="0.25">
      <c r="A544" s="3">
        <v>45216</v>
      </c>
      <c r="B544" s="1">
        <v>292.24400000000003</v>
      </c>
      <c r="C544" s="4">
        <f t="shared" si="32"/>
        <v>-4.788223705810557E-4</v>
      </c>
      <c r="E544" s="3">
        <v>45216</v>
      </c>
      <c r="F544" s="1">
        <v>102.68</v>
      </c>
      <c r="G544" s="4">
        <f t="shared" si="33"/>
        <v>-1.6475095785440597E-2</v>
      </c>
      <c r="I544" s="3">
        <v>45216</v>
      </c>
      <c r="J544" s="1">
        <v>119.11499999999999</v>
      </c>
      <c r="K544" s="4">
        <f t="shared" si="34"/>
        <v>-5.2113346528700477E-3</v>
      </c>
      <c r="M544" s="5">
        <v>45216</v>
      </c>
      <c r="N544" s="2">
        <v>19731.75</v>
      </c>
      <c r="O544" s="4">
        <f t="shared" si="35"/>
        <v>-9.7716323942265149E-4</v>
      </c>
    </row>
    <row r="545" spans="1:15" x14ac:dyDescent="0.25">
      <c r="A545" s="3">
        <v>45215</v>
      </c>
      <c r="B545" s="1">
        <v>292.38400000000001</v>
      </c>
      <c r="C545" s="4">
        <f t="shared" si="32"/>
        <v>9.3344380005524474E-3</v>
      </c>
      <c r="E545" s="3">
        <v>45215</v>
      </c>
      <c r="F545" s="1">
        <v>104.4</v>
      </c>
      <c r="G545" s="4">
        <f t="shared" si="33"/>
        <v>-6.6603235014270901E-3</v>
      </c>
      <c r="I545" s="3">
        <v>45215</v>
      </c>
      <c r="J545" s="1">
        <v>119.739</v>
      </c>
      <c r="K545" s="4">
        <f t="shared" si="34"/>
        <v>3.6209107596369972E-3</v>
      </c>
      <c r="M545" s="5">
        <v>45215</v>
      </c>
      <c r="N545" s="2">
        <v>19751.05</v>
      </c>
      <c r="O545" s="4">
        <f t="shared" si="35"/>
        <v>-2.1698494493280762E-3</v>
      </c>
    </row>
    <row r="546" spans="1:15" x14ac:dyDescent="0.25">
      <c r="A546" s="3">
        <v>45212</v>
      </c>
      <c r="B546" s="1">
        <v>289.68</v>
      </c>
      <c r="C546" s="4">
        <f t="shared" si="32"/>
        <v>-6.2844754246823564E-3</v>
      </c>
      <c r="E546" s="3">
        <v>45212</v>
      </c>
      <c r="F546" s="1">
        <v>105.1</v>
      </c>
      <c r="G546" s="4">
        <f t="shared" si="33"/>
        <v>-3.6025786879030353E-3</v>
      </c>
      <c r="I546" s="3">
        <v>45212</v>
      </c>
      <c r="J546" s="1">
        <v>119.307</v>
      </c>
      <c r="K546" s="4">
        <f t="shared" si="34"/>
        <v>2.150338930374307E-3</v>
      </c>
      <c r="M546" s="5">
        <v>45212</v>
      </c>
      <c r="N546" s="2">
        <v>19794</v>
      </c>
      <c r="O546" s="4">
        <f t="shared" si="35"/>
        <v>-8.7576061197236488E-4</v>
      </c>
    </row>
    <row r="547" spans="1:15" x14ac:dyDescent="0.25">
      <c r="A547" s="3">
        <v>45211</v>
      </c>
      <c r="B547" s="1">
        <v>291.512</v>
      </c>
      <c r="C547" s="4">
        <f t="shared" si="32"/>
        <v>-4.6708549576618408E-3</v>
      </c>
      <c r="E547" s="3">
        <v>45211</v>
      </c>
      <c r="F547" s="1">
        <v>105.48</v>
      </c>
      <c r="G547" s="4">
        <f t="shared" si="33"/>
        <v>-7.4338947962735435E-3</v>
      </c>
      <c r="I547" s="3">
        <v>45211</v>
      </c>
      <c r="J547" s="1">
        <v>119.051</v>
      </c>
      <c r="K547" s="4">
        <f t="shared" si="34"/>
        <v>-2.9312987328413698E-3</v>
      </c>
      <c r="M547" s="5">
        <v>45211</v>
      </c>
      <c r="N547" s="2">
        <v>19811.349999999999</v>
      </c>
      <c r="O547" s="4">
        <f t="shared" si="35"/>
        <v>6.1706920062876147E-3</v>
      </c>
    </row>
    <row r="548" spans="1:15" x14ac:dyDescent="0.25">
      <c r="A548" s="3">
        <v>45210</v>
      </c>
      <c r="B548" s="1">
        <v>292.88</v>
      </c>
      <c r="C548" s="4">
        <f t="shared" si="32"/>
        <v>-1.9910986179433099E-2</v>
      </c>
      <c r="E548" s="3">
        <v>45210</v>
      </c>
      <c r="F548" s="1">
        <v>106.27</v>
      </c>
      <c r="G548" s="4">
        <f t="shared" si="33"/>
        <v>3.3043806646524398E-3</v>
      </c>
      <c r="I548" s="3">
        <v>45210</v>
      </c>
      <c r="J548" s="1">
        <v>119.401</v>
      </c>
      <c r="K548" s="4">
        <f t="shared" si="34"/>
        <v>3.0747259209475963E-3</v>
      </c>
      <c r="M548" s="5">
        <v>45210</v>
      </c>
      <c r="N548" s="2">
        <v>19689.849999999999</v>
      </c>
      <c r="O548" s="4">
        <f t="shared" si="35"/>
        <v>9.096802794127834E-3</v>
      </c>
    </row>
    <row r="549" spans="1:15" x14ac:dyDescent="0.25">
      <c r="A549" s="3">
        <v>45209</v>
      </c>
      <c r="B549" s="1">
        <v>298.83</v>
      </c>
      <c r="C549" s="4">
        <f t="shared" si="32"/>
        <v>-7.7729927516261288E-3</v>
      </c>
      <c r="E549" s="3">
        <v>45209</v>
      </c>
      <c r="F549" s="1">
        <v>105.92</v>
      </c>
      <c r="G549" s="4">
        <f t="shared" si="33"/>
        <v>4.7227732124310862E-4</v>
      </c>
      <c r="I549" s="3">
        <v>45209</v>
      </c>
      <c r="J549" s="1">
        <v>119.035</v>
      </c>
      <c r="K549" s="4">
        <f t="shared" si="34"/>
        <v>4.10804062489456E-3</v>
      </c>
      <c r="M549" s="5">
        <v>45209</v>
      </c>
      <c r="N549" s="2">
        <v>19512.349999999999</v>
      </c>
      <c r="O549" s="4">
        <f t="shared" si="35"/>
        <v>-7.1819268832524763E-3</v>
      </c>
    </row>
    <row r="550" spans="1:15" x14ac:dyDescent="0.25">
      <c r="A550" s="3">
        <v>45208</v>
      </c>
      <c r="B550" s="1">
        <v>301.17099999999999</v>
      </c>
      <c r="C550" s="4">
        <f t="shared" si="32"/>
        <v>-2.7516374063748517E-3</v>
      </c>
      <c r="E550" s="3">
        <v>45208</v>
      </c>
      <c r="F550" s="1">
        <v>105.87</v>
      </c>
      <c r="G550" s="4">
        <f t="shared" si="33"/>
        <v>-3.2012051595894375E-3</v>
      </c>
      <c r="I550" s="3">
        <v>45208</v>
      </c>
      <c r="J550" s="1">
        <v>118.548</v>
      </c>
      <c r="K550" s="4">
        <f t="shared" si="34"/>
        <v>1.3577291381668966E-2</v>
      </c>
      <c r="M550" s="5">
        <v>45208</v>
      </c>
      <c r="N550" s="2">
        <v>19653.5</v>
      </c>
      <c r="O550" s="4">
        <f t="shared" si="35"/>
        <v>5.5127073660514725E-3</v>
      </c>
    </row>
    <row r="551" spans="1:15" x14ac:dyDescent="0.25">
      <c r="A551" s="3">
        <v>45205</v>
      </c>
      <c r="B551" s="1">
        <v>302.00200000000001</v>
      </c>
      <c r="C551" s="4">
        <f t="shared" si="32"/>
        <v>-6.0361510815044594E-3</v>
      </c>
      <c r="E551" s="3">
        <v>45205</v>
      </c>
      <c r="F551" s="1">
        <v>106.21</v>
      </c>
      <c r="G551" s="4">
        <f t="shared" si="33"/>
        <v>9.4161958568594883E-5</v>
      </c>
      <c r="I551" s="3">
        <v>45205</v>
      </c>
      <c r="J551" s="1">
        <v>116.96</v>
      </c>
      <c r="K551" s="4">
        <f t="shared" si="34"/>
        <v>-9.3340787044096096E-3</v>
      </c>
      <c r="M551" s="5">
        <v>45205</v>
      </c>
      <c r="N551" s="2">
        <v>19545.75</v>
      </c>
      <c r="O551" s="4">
        <f t="shared" si="35"/>
        <v>5.6415638939910639E-3</v>
      </c>
    </row>
    <row r="552" spans="1:15" x14ac:dyDescent="0.25">
      <c r="A552" s="3">
        <v>45204</v>
      </c>
      <c r="B552" s="1">
        <v>303.83600000000001</v>
      </c>
      <c r="C552" s="4">
        <f t="shared" si="32"/>
        <v>3.7230475473144509E-3</v>
      </c>
      <c r="E552" s="3">
        <v>45204</v>
      </c>
      <c r="F552" s="1">
        <v>106.2</v>
      </c>
      <c r="G552" s="4">
        <f t="shared" si="33"/>
        <v>4.2553191489362874E-3</v>
      </c>
      <c r="I552" s="3">
        <v>45204</v>
      </c>
      <c r="J552" s="1">
        <v>118.062</v>
      </c>
      <c r="K552" s="4">
        <f t="shared" si="34"/>
        <v>6.8309156497046164E-3</v>
      </c>
      <c r="M552" s="5">
        <v>45204</v>
      </c>
      <c r="N552" s="2">
        <v>19436.099999999999</v>
      </c>
      <c r="O552" s="4">
        <f t="shared" si="35"/>
        <v>-4.7442872687705195E-3</v>
      </c>
    </row>
    <row r="553" spans="1:15" x14ac:dyDescent="0.25">
      <c r="A553" s="3">
        <v>45203</v>
      </c>
      <c r="B553" s="1">
        <v>302.709</v>
      </c>
      <c r="C553" s="4">
        <f t="shared" si="32"/>
        <v>4.5097063215528976E-3</v>
      </c>
      <c r="E553" s="3">
        <v>45203</v>
      </c>
      <c r="F553" s="1">
        <v>105.75</v>
      </c>
      <c r="G553" s="4">
        <f t="shared" si="33"/>
        <v>9.2574918877648127E-3</v>
      </c>
      <c r="I553" s="3">
        <v>45203</v>
      </c>
      <c r="J553" s="1">
        <v>117.261</v>
      </c>
      <c r="K553" s="4">
        <f t="shared" si="34"/>
        <v>2.9765723230095187E-3</v>
      </c>
      <c r="M553" s="5">
        <v>45203</v>
      </c>
      <c r="N553" s="2">
        <v>19528.75</v>
      </c>
      <c r="O553" s="4">
        <f t="shared" si="35"/>
        <v>-5.5783850944327584E-3</v>
      </c>
    </row>
    <row r="554" spans="1:15" x14ac:dyDescent="0.25">
      <c r="A554" s="3">
        <v>45202</v>
      </c>
      <c r="B554" s="1">
        <v>301.35000000000002</v>
      </c>
      <c r="C554" s="4">
        <f t="shared" si="32"/>
        <v>-2.0862308762169546E-3</v>
      </c>
      <c r="E554" s="3">
        <v>45202</v>
      </c>
      <c r="F554" s="1">
        <v>104.78</v>
      </c>
      <c r="G554" s="4">
        <f t="shared" si="33"/>
        <v>-8.4224472414119456E-3</v>
      </c>
      <c r="I554" s="3">
        <v>45202</v>
      </c>
      <c r="J554" s="1">
        <v>116.913</v>
      </c>
      <c r="K554" s="4">
        <f t="shared" si="34"/>
        <v>-1.1465388225147866E-2</v>
      </c>
      <c r="M554" s="5">
        <v>45202</v>
      </c>
      <c r="N554" s="2">
        <v>19638.3</v>
      </c>
      <c r="O554" s="4">
        <f t="shared" si="35"/>
        <v>-3.9636952899736455E-3</v>
      </c>
    </row>
    <row r="555" spans="1:15" x14ac:dyDescent="0.25">
      <c r="A555" s="3">
        <v>45198</v>
      </c>
      <c r="B555" s="1">
        <v>301.98</v>
      </c>
      <c r="C555" s="4">
        <f t="shared" si="32"/>
        <v>1.3230276443143563E-3</v>
      </c>
      <c r="E555" s="3">
        <v>45198</v>
      </c>
      <c r="F555" s="1">
        <v>105.67</v>
      </c>
      <c r="G555" s="4">
        <f t="shared" si="33"/>
        <v>4.6586803574824032E-3</v>
      </c>
      <c r="I555" s="3">
        <v>45198</v>
      </c>
      <c r="J555" s="1">
        <v>118.26900000000001</v>
      </c>
      <c r="K555" s="4">
        <f t="shared" si="34"/>
        <v>-2.622701973351238E-3</v>
      </c>
      <c r="M555" s="5">
        <v>45198</v>
      </c>
      <c r="N555" s="2">
        <v>19716.45</v>
      </c>
      <c r="O555" s="4">
        <f t="shared" si="35"/>
        <v>2.6316190941126916E-3</v>
      </c>
    </row>
    <row r="556" spans="1:15" x14ac:dyDescent="0.25">
      <c r="A556" s="3">
        <v>45196</v>
      </c>
      <c r="B556" s="1">
        <v>301.58100000000002</v>
      </c>
      <c r="C556" s="4">
        <f t="shared" si="32"/>
        <v>7.0760230012489878E-3</v>
      </c>
      <c r="E556" s="3">
        <v>45196</v>
      </c>
      <c r="F556" s="1">
        <v>105.18</v>
      </c>
      <c r="G556" s="4">
        <f t="shared" si="33"/>
        <v>5.35270502771934E-3</v>
      </c>
      <c r="I556" s="3">
        <v>45196</v>
      </c>
      <c r="J556" s="1">
        <v>118.58</v>
      </c>
      <c r="K556" s="4">
        <f t="shared" si="34"/>
        <v>1.5541065576538671E-3</v>
      </c>
      <c r="M556" s="5">
        <v>45196</v>
      </c>
      <c r="N556" s="2">
        <v>19664.7</v>
      </c>
      <c r="O556" s="4">
        <f t="shared" si="35"/>
        <v>-5.0064677464023433E-4</v>
      </c>
    </row>
    <row r="557" spans="1:15" x14ac:dyDescent="0.25">
      <c r="A557" s="3">
        <v>45195</v>
      </c>
      <c r="B557" s="1">
        <v>299.46199999999999</v>
      </c>
      <c r="C557" s="4">
        <f t="shared" si="32"/>
        <v>1.0773956188611766E-2</v>
      </c>
      <c r="E557" s="3">
        <v>45195</v>
      </c>
      <c r="F557" s="1">
        <v>104.62</v>
      </c>
      <c r="G557" s="4">
        <f t="shared" si="33"/>
        <v>-9.1864759920446959E-3</v>
      </c>
      <c r="I557" s="3">
        <v>45195</v>
      </c>
      <c r="J557" s="1">
        <v>118.396</v>
      </c>
      <c r="K557" s="4">
        <f t="shared" si="34"/>
        <v>7.4454778294943402E-3</v>
      </c>
      <c r="M557" s="5">
        <v>45195</v>
      </c>
      <c r="N557" s="2">
        <v>19674.55</v>
      </c>
      <c r="O557" s="4">
        <f t="shared" si="35"/>
        <v>1.5248357624786379E-5</v>
      </c>
    </row>
    <row r="558" spans="1:15" x14ac:dyDescent="0.25">
      <c r="A558" s="3">
        <v>45194</v>
      </c>
      <c r="B558" s="1">
        <v>296.27</v>
      </c>
      <c r="C558" s="4">
        <f t="shared" si="32"/>
        <v>-1.0034316493636397E-2</v>
      </c>
      <c r="E558" s="3">
        <v>45194</v>
      </c>
      <c r="F558" s="1">
        <v>105.59</v>
      </c>
      <c r="G558" s="4">
        <f t="shared" si="33"/>
        <v>9.4714908126514175E-5</v>
      </c>
      <c r="I558" s="3">
        <v>45194</v>
      </c>
      <c r="J558" s="1">
        <v>117.521</v>
      </c>
      <c r="K558" s="4">
        <f t="shared" si="34"/>
        <v>-2.664743072940956E-3</v>
      </c>
      <c r="M558" s="5">
        <v>45194</v>
      </c>
      <c r="N558" s="2">
        <v>19674.25</v>
      </c>
      <c r="O558" s="4">
        <f t="shared" si="35"/>
        <v>-3.4494373770092013E-3</v>
      </c>
    </row>
    <row r="559" spans="1:15" x14ac:dyDescent="0.25">
      <c r="A559" s="3">
        <v>45191</v>
      </c>
      <c r="B559" s="1">
        <v>299.27300000000002</v>
      </c>
      <c r="C559" s="4">
        <f t="shared" si="32"/>
        <v>4.9496472452896789E-3</v>
      </c>
      <c r="E559" s="3">
        <v>45191</v>
      </c>
      <c r="F559" s="1">
        <v>105.58</v>
      </c>
      <c r="G559" s="4">
        <f t="shared" si="33"/>
        <v>3.7900322152739641E-4</v>
      </c>
      <c r="I559" s="3">
        <v>45191</v>
      </c>
      <c r="J559" s="1">
        <v>117.83499999999999</v>
      </c>
      <c r="K559" s="4">
        <f t="shared" si="34"/>
        <v>1.2235430066869224E-3</v>
      </c>
      <c r="M559" s="5">
        <v>45191</v>
      </c>
      <c r="N559" s="2">
        <v>19742.349999999999</v>
      </c>
      <c r="O559" s="4">
        <f t="shared" si="35"/>
        <v>-7.9919000673320806E-3</v>
      </c>
    </row>
    <row r="560" spans="1:15" x14ac:dyDescent="0.25">
      <c r="A560" s="3">
        <v>45190</v>
      </c>
      <c r="B560" s="1">
        <v>297.79899999999998</v>
      </c>
      <c r="C560" s="4">
        <f t="shared" si="32"/>
        <v>1.7222414703637057E-3</v>
      </c>
      <c r="E560" s="3">
        <v>45190</v>
      </c>
      <c r="F560" s="1">
        <v>105.54</v>
      </c>
      <c r="G560" s="4">
        <f t="shared" si="33"/>
        <v>3.0412469112337526E-3</v>
      </c>
      <c r="I560" s="3">
        <v>45190</v>
      </c>
      <c r="J560" s="1">
        <v>117.691</v>
      </c>
      <c r="K560" s="4">
        <f t="shared" si="34"/>
        <v>-8.3199619658880231E-4</v>
      </c>
      <c r="M560" s="5">
        <v>45190</v>
      </c>
      <c r="N560" s="2">
        <v>19901.400000000001</v>
      </c>
      <c r="O560" s="4">
        <f t="shared" si="35"/>
        <v>-1.1518230990448575E-2</v>
      </c>
    </row>
    <row r="561" spans="1:15" x14ac:dyDescent="0.25">
      <c r="A561" s="3">
        <v>45189</v>
      </c>
      <c r="B561" s="1">
        <v>297.28699999999998</v>
      </c>
      <c r="C561" s="4">
        <f t="shared" si="32"/>
        <v>-1.0046486227289653E-2</v>
      </c>
      <c r="E561" s="3">
        <v>45189</v>
      </c>
      <c r="F561" s="1">
        <v>105.22</v>
      </c>
      <c r="G561" s="4">
        <f t="shared" si="33"/>
        <v>-1.9004180919801605E-4</v>
      </c>
      <c r="I561" s="3">
        <v>45189</v>
      </c>
      <c r="J561" s="1">
        <v>117.789</v>
      </c>
      <c r="K561" s="4">
        <f t="shared" si="34"/>
        <v>-6.9804496825919271E-3</v>
      </c>
      <c r="M561" s="5">
        <v>45189</v>
      </c>
      <c r="N561" s="2">
        <v>20133.3</v>
      </c>
      <c r="O561" s="4">
        <f t="shared" si="35"/>
        <v>-2.9243748251194246E-3</v>
      </c>
    </row>
    <row r="562" spans="1:15" x14ac:dyDescent="0.25">
      <c r="A562" s="3">
        <v>45187</v>
      </c>
      <c r="B562" s="1">
        <v>300.30399999999997</v>
      </c>
      <c r="C562" s="4">
        <f t="shared" si="32"/>
        <v>-3.1624605940772099E-4</v>
      </c>
      <c r="E562" s="3">
        <v>45187</v>
      </c>
      <c r="F562" s="1">
        <v>105.24</v>
      </c>
      <c r="G562" s="4">
        <f t="shared" si="33"/>
        <v>2.8514399771895071E-4</v>
      </c>
      <c r="I562" s="3">
        <v>45187</v>
      </c>
      <c r="J562" s="1">
        <v>118.617</v>
      </c>
      <c r="K562" s="4">
        <f t="shared" si="34"/>
        <v>-6.7158492367210831E-3</v>
      </c>
      <c r="M562" s="5">
        <v>45187</v>
      </c>
      <c r="N562" s="2">
        <v>20192.349999999999</v>
      </c>
      <c r="O562" s="4">
        <f t="shared" si="35"/>
        <v>4.4396137909079592E-3</v>
      </c>
    </row>
    <row r="563" spans="1:15" x14ac:dyDescent="0.25">
      <c r="A563" s="3">
        <v>45184</v>
      </c>
      <c r="B563" s="1">
        <v>300.399</v>
      </c>
      <c r="C563" s="4">
        <f t="shared" si="32"/>
        <v>2.4092606372860814E-3</v>
      </c>
      <c r="E563" s="3">
        <v>45184</v>
      </c>
      <c r="F563" s="1">
        <v>105.21</v>
      </c>
      <c r="G563" s="4">
        <f t="shared" si="33"/>
        <v>-2.3705670396358958E-3</v>
      </c>
      <c r="I563" s="3">
        <v>45184</v>
      </c>
      <c r="J563" s="1">
        <v>119.419</v>
      </c>
      <c r="K563" s="4">
        <f t="shared" si="34"/>
        <v>-3.2302221925446517E-3</v>
      </c>
      <c r="M563" s="5">
        <v>45184</v>
      </c>
      <c r="N563" s="2">
        <v>20103.099999999999</v>
      </c>
      <c r="O563" s="4">
        <f t="shared" si="35"/>
        <v>1.6492277030393243E-3</v>
      </c>
    </row>
    <row r="564" spans="1:15" x14ac:dyDescent="0.25">
      <c r="A564" s="3">
        <v>45183</v>
      </c>
      <c r="B564" s="1">
        <v>299.67700000000002</v>
      </c>
      <c r="C564" s="4">
        <f t="shared" si="32"/>
        <v>3.4421678960920854E-3</v>
      </c>
      <c r="E564" s="3">
        <v>45183</v>
      </c>
      <c r="F564" s="1">
        <v>105.46</v>
      </c>
      <c r="G564" s="4">
        <f t="shared" si="33"/>
        <v>-9.2070650131529375E-3</v>
      </c>
      <c r="I564" s="3">
        <v>45183</v>
      </c>
      <c r="J564" s="1">
        <v>119.806</v>
      </c>
      <c r="K564" s="4">
        <f t="shared" si="34"/>
        <v>1.9067052467844903E-3</v>
      </c>
      <c r="M564" s="5">
        <v>45183</v>
      </c>
      <c r="N564" s="2">
        <v>20070</v>
      </c>
      <c r="O564" s="4">
        <f t="shared" si="35"/>
        <v>3.8413060440549707E-3</v>
      </c>
    </row>
    <row r="565" spans="1:15" x14ac:dyDescent="0.25">
      <c r="A565" s="3">
        <v>45182</v>
      </c>
      <c r="B565" s="1">
        <v>298.649</v>
      </c>
      <c r="C565" s="4">
        <f t="shared" si="32"/>
        <v>-6.6589035228614701E-4</v>
      </c>
      <c r="E565" s="3">
        <v>45182</v>
      </c>
      <c r="F565" s="1">
        <v>106.44</v>
      </c>
      <c r="G565" s="4">
        <f t="shared" si="33"/>
        <v>-7.2747621712366817E-3</v>
      </c>
      <c r="I565" s="3">
        <v>45182</v>
      </c>
      <c r="J565" s="1">
        <v>119.578</v>
      </c>
      <c r="K565" s="4">
        <f t="shared" si="34"/>
        <v>6.4979883170883657E-3</v>
      </c>
      <c r="M565" s="5">
        <v>45182</v>
      </c>
      <c r="N565" s="2">
        <v>19993.2</v>
      </c>
      <c r="O565" s="4">
        <f t="shared" si="35"/>
        <v>-1.5752874899654934E-4</v>
      </c>
    </row>
    <row r="566" spans="1:15" x14ac:dyDescent="0.25">
      <c r="A566" s="3">
        <v>45181</v>
      </c>
      <c r="B566" s="1">
        <v>298.84800000000001</v>
      </c>
      <c r="C566" s="4">
        <f t="shared" si="32"/>
        <v>2.6572187776794376E-3</v>
      </c>
      <c r="E566" s="3">
        <v>45181</v>
      </c>
      <c r="F566" s="1">
        <v>107.22</v>
      </c>
      <c r="G566" s="4">
        <f t="shared" si="33"/>
        <v>-2.6046511627907387E-3</v>
      </c>
      <c r="I566" s="3">
        <v>45181</v>
      </c>
      <c r="J566" s="1">
        <v>118.806</v>
      </c>
      <c r="K566" s="4">
        <f t="shared" si="34"/>
        <v>6.0631721568293884E-3</v>
      </c>
      <c r="M566" s="5">
        <v>45181</v>
      </c>
      <c r="N566" s="2">
        <v>19996.349999999999</v>
      </c>
      <c r="O566" s="4">
        <f t="shared" si="35"/>
        <v>8.9001233605532359E-3</v>
      </c>
    </row>
    <row r="567" spans="1:15" x14ac:dyDescent="0.25">
      <c r="A567" s="3">
        <v>45180</v>
      </c>
      <c r="B567" s="1">
        <v>298.05599999999998</v>
      </c>
      <c r="C567" s="4">
        <f t="shared" si="32"/>
        <v>-1.2699582823730848E-3</v>
      </c>
      <c r="E567" s="3">
        <v>45180</v>
      </c>
      <c r="F567" s="1">
        <v>107.5</v>
      </c>
      <c r="G567" s="4">
        <f t="shared" si="33"/>
        <v>5.5186605556074575E-3</v>
      </c>
      <c r="I567" s="3">
        <v>45180</v>
      </c>
      <c r="J567" s="1">
        <v>118.09</v>
      </c>
      <c r="K567" s="4">
        <f t="shared" si="34"/>
        <v>-1.7431459832757845E-2</v>
      </c>
      <c r="M567" s="5">
        <v>45180</v>
      </c>
      <c r="N567" s="2">
        <v>19819.95</v>
      </c>
      <c r="O567" s="4">
        <f t="shared" si="35"/>
        <v>4.7092697590365162E-3</v>
      </c>
    </row>
    <row r="568" spans="1:15" x14ac:dyDescent="0.25">
      <c r="A568" s="3">
        <v>45177</v>
      </c>
      <c r="B568" s="1">
        <v>298.435</v>
      </c>
      <c r="C568" s="4">
        <f t="shared" si="32"/>
        <v>-8.9825330411104076E-3</v>
      </c>
      <c r="E568" s="3">
        <v>45177</v>
      </c>
      <c r="F568" s="1">
        <v>106.91</v>
      </c>
      <c r="G568" s="4">
        <f t="shared" si="33"/>
        <v>6.1170713344624872E-3</v>
      </c>
      <c r="I568" s="3">
        <v>45177</v>
      </c>
      <c r="J568" s="1">
        <v>120.185</v>
      </c>
      <c r="K568" s="4">
        <f t="shared" si="34"/>
        <v>6.4818149081742327E-3</v>
      </c>
      <c r="M568" s="5">
        <v>45177</v>
      </c>
      <c r="N568" s="2">
        <v>19727.05</v>
      </c>
      <c r="O568" s="4">
        <f t="shared" si="35"/>
        <v>5.91503259641879E-3</v>
      </c>
    </row>
    <row r="569" spans="1:15" x14ac:dyDescent="0.25">
      <c r="A569" s="3">
        <v>45176</v>
      </c>
      <c r="B569" s="1">
        <v>301.14</v>
      </c>
      <c r="C569" s="4">
        <f t="shared" si="32"/>
        <v>-5.8728571004129648E-3</v>
      </c>
      <c r="E569" s="3">
        <v>45176</v>
      </c>
      <c r="F569" s="1">
        <v>106.26</v>
      </c>
      <c r="G569" s="4">
        <f t="shared" si="33"/>
        <v>1.4136273678257982E-3</v>
      </c>
      <c r="I569" s="3">
        <v>45176</v>
      </c>
      <c r="J569" s="1">
        <v>119.411</v>
      </c>
      <c r="K569" s="4">
        <f t="shared" si="34"/>
        <v>8.7433263499356872E-3</v>
      </c>
      <c r="M569" s="5">
        <v>45176</v>
      </c>
      <c r="N569" s="2">
        <v>19611.05</v>
      </c>
      <c r="O569" s="4">
        <f t="shared" si="35"/>
        <v>1.8467527292602703E-3</v>
      </c>
    </row>
    <row r="570" spans="1:15" x14ac:dyDescent="0.25">
      <c r="A570" s="3">
        <v>45175</v>
      </c>
      <c r="B570" s="1">
        <v>302.91899999999998</v>
      </c>
      <c r="C570" s="4">
        <f t="shared" si="32"/>
        <v>-3.6280269191045766E-3</v>
      </c>
      <c r="E570" s="3">
        <v>45175</v>
      </c>
      <c r="F570" s="1">
        <v>106.11</v>
      </c>
      <c r="G570" s="4">
        <f t="shared" si="33"/>
        <v>-8.1323611890072867E-3</v>
      </c>
      <c r="I570" s="3">
        <v>45175</v>
      </c>
      <c r="J570" s="1">
        <v>118.376</v>
      </c>
      <c r="K570" s="4">
        <f t="shared" si="34"/>
        <v>7.4724676164701354E-3</v>
      </c>
      <c r="M570" s="5">
        <v>45175</v>
      </c>
      <c r="N570" s="2">
        <v>19574.900000000001</v>
      </c>
      <c r="O570" s="4">
        <f t="shared" si="35"/>
        <v>2.3606161156857208E-3</v>
      </c>
    </row>
    <row r="571" spans="1:15" x14ac:dyDescent="0.25">
      <c r="A571" s="3">
        <v>45174</v>
      </c>
      <c r="B571" s="1">
        <v>304.02199999999999</v>
      </c>
      <c r="C571" s="4">
        <f t="shared" si="32"/>
        <v>1.8981960546520238E-3</v>
      </c>
      <c r="E571" s="3">
        <v>45174</v>
      </c>
      <c r="F571" s="1">
        <v>106.98</v>
      </c>
      <c r="G571" s="4">
        <f t="shared" si="33"/>
        <v>8.3891035912904144E-3</v>
      </c>
      <c r="I571" s="3">
        <v>45174</v>
      </c>
      <c r="J571" s="1">
        <v>117.498</v>
      </c>
      <c r="K571" s="4">
        <f t="shared" si="34"/>
        <v>1.5321756894781657E-4</v>
      </c>
      <c r="M571" s="5">
        <v>45174</v>
      </c>
      <c r="N571" s="2">
        <v>19528.8</v>
      </c>
      <c r="O571" s="4">
        <f t="shared" si="35"/>
        <v>4.8108338950261231E-3</v>
      </c>
    </row>
    <row r="572" spans="1:15" x14ac:dyDescent="0.25">
      <c r="A572" s="3">
        <v>45173</v>
      </c>
      <c r="B572" s="1">
        <v>303.44600000000003</v>
      </c>
      <c r="C572" s="4">
        <f t="shared" si="32"/>
        <v>7.6876840976187744E-3</v>
      </c>
      <c r="E572" s="3">
        <v>45173</v>
      </c>
      <c r="F572" s="1">
        <v>106.09</v>
      </c>
      <c r="G572" s="4">
        <f t="shared" si="33"/>
        <v>6.451000853809008E-3</v>
      </c>
      <c r="I572" s="3">
        <v>45173</v>
      </c>
      <c r="J572" s="1">
        <v>117.48</v>
      </c>
      <c r="K572" s="4">
        <f t="shared" si="34"/>
        <v>3.6050504877922496E-3</v>
      </c>
      <c r="M572" s="5">
        <v>45173</v>
      </c>
      <c r="N572" s="2">
        <v>19435.3</v>
      </c>
      <c r="O572" s="4">
        <f t="shared" si="35"/>
        <v>9.4267105714196386E-3</v>
      </c>
    </row>
    <row r="573" spans="1:15" x14ac:dyDescent="0.25">
      <c r="A573" s="3">
        <v>45170</v>
      </c>
      <c r="B573" s="1">
        <v>301.13099999999997</v>
      </c>
      <c r="C573" s="4">
        <f t="shared" si="32"/>
        <v>9.5276728273585576E-3</v>
      </c>
      <c r="E573" s="3">
        <v>45170</v>
      </c>
      <c r="F573" s="1">
        <v>105.41</v>
      </c>
      <c r="G573" s="4">
        <f t="shared" si="33"/>
        <v>3.3314296592423798E-3</v>
      </c>
      <c r="I573" s="3">
        <v>45170</v>
      </c>
      <c r="J573" s="1">
        <v>117.05800000000001</v>
      </c>
      <c r="K573" s="4">
        <f t="shared" si="34"/>
        <v>8.4252239834596843E-3</v>
      </c>
      <c r="M573" s="5">
        <v>45170</v>
      </c>
      <c r="N573" s="2">
        <v>19253.8</v>
      </c>
      <c r="O573" s="4">
        <f t="shared" si="35"/>
        <v>-4.840431167931758E-3</v>
      </c>
    </row>
    <row r="574" spans="1:15" x14ac:dyDescent="0.25">
      <c r="A574" s="3">
        <v>45169</v>
      </c>
      <c r="B574" s="1">
        <v>298.28899999999999</v>
      </c>
      <c r="C574" s="4">
        <f t="shared" si="32"/>
        <v>-1.7130825601012312E-2</v>
      </c>
      <c r="E574" s="3">
        <v>45169</v>
      </c>
      <c r="F574" s="1">
        <v>105.06</v>
      </c>
      <c r="G574" s="4">
        <f t="shared" si="33"/>
        <v>1.0481181515007432E-3</v>
      </c>
      <c r="I574" s="3">
        <v>45169</v>
      </c>
      <c r="J574" s="1">
        <v>116.08</v>
      </c>
      <c r="K574" s="4">
        <f t="shared" si="34"/>
        <v>9.7337357886586595E-3</v>
      </c>
      <c r="M574" s="5">
        <v>45169</v>
      </c>
      <c r="N574" s="2">
        <v>19347.45</v>
      </c>
      <c r="O574" s="4">
        <f t="shared" si="35"/>
        <v>2.4815627641494586E-4</v>
      </c>
    </row>
    <row r="575" spans="1:15" x14ac:dyDescent="0.25">
      <c r="A575" s="3">
        <v>45168</v>
      </c>
      <c r="B575" s="1">
        <v>303.488</v>
      </c>
      <c r="C575" s="4">
        <f t="shared" si="32"/>
        <v>6.5803438760347888E-3</v>
      </c>
      <c r="E575" s="3">
        <v>45168</v>
      </c>
      <c r="F575" s="1">
        <v>104.95</v>
      </c>
      <c r="G575" s="4">
        <f t="shared" si="33"/>
        <v>3.6339294252654142E-3</v>
      </c>
      <c r="I575" s="3">
        <v>45168</v>
      </c>
      <c r="J575" s="1">
        <v>114.961</v>
      </c>
      <c r="K575" s="4">
        <f t="shared" si="34"/>
        <v>-1.7106931346497767E-3</v>
      </c>
      <c r="M575" s="5">
        <v>45168</v>
      </c>
      <c r="N575" s="2">
        <v>19342.650000000001</v>
      </c>
      <c r="O575" s="4">
        <f t="shared" si="35"/>
        <v>1.8957787843707496E-3</v>
      </c>
    </row>
    <row r="576" spans="1:15" x14ac:dyDescent="0.25">
      <c r="A576" s="3">
        <v>45167</v>
      </c>
      <c r="B576" s="1">
        <v>301.50400000000002</v>
      </c>
      <c r="C576" s="4">
        <f t="shared" si="32"/>
        <v>5.0568857983845916E-3</v>
      </c>
      <c r="E576" s="3">
        <v>45167</v>
      </c>
      <c r="F576" s="1">
        <v>104.57</v>
      </c>
      <c r="G576" s="4">
        <f t="shared" si="33"/>
        <v>4.9975973089859682E-3</v>
      </c>
      <c r="I576" s="3">
        <v>45167</v>
      </c>
      <c r="J576" s="1">
        <v>115.158</v>
      </c>
      <c r="K576" s="4">
        <f t="shared" si="34"/>
        <v>7.5605495737418593E-4</v>
      </c>
      <c r="M576" s="5">
        <v>45167</v>
      </c>
      <c r="N576" s="2">
        <v>19306.05</v>
      </c>
      <c r="O576" s="4">
        <f t="shared" si="35"/>
        <v>2.0891943236200916E-3</v>
      </c>
    </row>
    <row r="577" spans="1:15" x14ac:dyDescent="0.25">
      <c r="A577" s="3">
        <v>45166</v>
      </c>
      <c r="B577" s="1">
        <v>299.98700000000002</v>
      </c>
      <c r="C577" s="4">
        <f t="shared" si="32"/>
        <v>4.4835391497681787E-3</v>
      </c>
      <c r="E577" s="3">
        <v>45166</v>
      </c>
      <c r="F577" s="1">
        <v>104.05</v>
      </c>
      <c r="G577" s="4">
        <f t="shared" si="33"/>
        <v>9.1164775482495131E-3</v>
      </c>
      <c r="I577" s="3">
        <v>45166</v>
      </c>
      <c r="J577" s="1">
        <v>115.071</v>
      </c>
      <c r="K577" s="4">
        <f t="shared" si="34"/>
        <v>2.4042859009538731E-3</v>
      </c>
      <c r="M577" s="5">
        <v>45166</v>
      </c>
      <c r="N577" s="2">
        <v>19265.8</v>
      </c>
      <c r="O577" s="4">
        <f t="shared" si="35"/>
        <v>-6.2362341192674364E-3</v>
      </c>
    </row>
    <row r="578" spans="1:15" x14ac:dyDescent="0.25">
      <c r="A578" s="3">
        <v>45163</v>
      </c>
      <c r="B578" s="1">
        <v>298.64800000000002</v>
      </c>
      <c r="C578" s="4">
        <f t="shared" si="32"/>
        <v>1.3109499525576496E-3</v>
      </c>
      <c r="E578" s="3">
        <v>45163</v>
      </c>
      <c r="F578" s="1">
        <v>103.11</v>
      </c>
      <c r="G578" s="4">
        <f t="shared" si="33"/>
        <v>-2.9086678301337709E-4</v>
      </c>
      <c r="I578" s="3">
        <v>45163</v>
      </c>
      <c r="J578" s="1">
        <v>114.795</v>
      </c>
      <c r="K578" s="4">
        <f t="shared" si="34"/>
        <v>4.2604192182524869E-3</v>
      </c>
      <c r="M578" s="5">
        <v>45163</v>
      </c>
      <c r="N578" s="2">
        <v>19386.7</v>
      </c>
      <c r="O578" s="4">
        <f t="shared" si="35"/>
        <v>-2.9469245011314316E-3</v>
      </c>
    </row>
    <row r="579" spans="1:15" x14ac:dyDescent="0.25">
      <c r="A579" s="3">
        <v>45162</v>
      </c>
      <c r="B579" s="1">
        <v>298.25700000000001</v>
      </c>
      <c r="C579" s="4">
        <f t="shared" ref="C579:C642" si="36">(B579/B580)-1</f>
        <v>3.0165456012913872E-3</v>
      </c>
      <c r="E579" s="3">
        <v>45162</v>
      </c>
      <c r="F579" s="1">
        <v>103.14</v>
      </c>
      <c r="G579" s="4">
        <f t="shared" ref="G579:G642" si="37">(F579/F580)-1</f>
        <v>5.4591538311561383E-3</v>
      </c>
      <c r="I579" s="3">
        <v>45162</v>
      </c>
      <c r="J579" s="1">
        <v>114.30800000000001</v>
      </c>
      <c r="K579" s="4">
        <f t="shared" ref="K579:K642" si="38">(J579/J580)-1</f>
        <v>-6.7515314767344625E-3</v>
      </c>
      <c r="M579" s="5">
        <v>45162</v>
      </c>
      <c r="N579" s="2">
        <v>19444</v>
      </c>
      <c r="O579" s="4">
        <f t="shared" ref="O579:O642" si="39">(N579/N580)-1</f>
        <v>2.4514795233148146E-3</v>
      </c>
    </row>
    <row r="580" spans="1:15" x14ac:dyDescent="0.25">
      <c r="A580" s="3">
        <v>45161</v>
      </c>
      <c r="B580" s="1">
        <v>297.36</v>
      </c>
      <c r="C580" s="4">
        <f t="shared" si="36"/>
        <v>8.8378483825550802E-3</v>
      </c>
      <c r="E580" s="3">
        <v>45161</v>
      </c>
      <c r="F580" s="1">
        <v>102.58</v>
      </c>
      <c r="G580" s="4">
        <f t="shared" si="37"/>
        <v>1.8556499658168857E-3</v>
      </c>
      <c r="I580" s="3">
        <v>45161</v>
      </c>
      <c r="J580" s="1">
        <v>115.08499999999999</v>
      </c>
      <c r="K580" s="4">
        <f t="shared" si="38"/>
        <v>2.4335764012617389E-4</v>
      </c>
      <c r="M580" s="5">
        <v>45161</v>
      </c>
      <c r="N580" s="2">
        <v>19396.45</v>
      </c>
      <c r="O580" s="4">
        <f t="shared" si="39"/>
        <v>1.4695569672484865E-4</v>
      </c>
    </row>
    <row r="581" spans="1:15" x14ac:dyDescent="0.25">
      <c r="A581" s="3">
        <v>45160</v>
      </c>
      <c r="B581" s="1">
        <v>294.755</v>
      </c>
      <c r="C581" s="4">
        <f t="shared" si="36"/>
        <v>1.0064492252020107E-2</v>
      </c>
      <c r="E581" s="3">
        <v>45160</v>
      </c>
      <c r="F581" s="1">
        <v>102.39</v>
      </c>
      <c r="G581" s="4">
        <f t="shared" si="37"/>
        <v>3.7251249877463533E-3</v>
      </c>
      <c r="I581" s="3">
        <v>45160</v>
      </c>
      <c r="J581" s="1">
        <v>115.057</v>
      </c>
      <c r="K581" s="4">
        <f t="shared" si="38"/>
        <v>3.5324285664446453E-3</v>
      </c>
      <c r="M581" s="5">
        <v>45160</v>
      </c>
      <c r="N581" s="2">
        <v>19393.599999999999</v>
      </c>
      <c r="O581" s="4">
        <f t="shared" si="39"/>
        <v>4.3215614586109563E-3</v>
      </c>
    </row>
    <row r="582" spans="1:15" x14ac:dyDescent="0.25">
      <c r="A582" s="3">
        <v>45159</v>
      </c>
      <c r="B582" s="1">
        <v>291.81799999999998</v>
      </c>
      <c r="C582" s="4">
        <f t="shared" si="36"/>
        <v>1.7134260639428689E-5</v>
      </c>
      <c r="E582" s="3">
        <v>45159</v>
      </c>
      <c r="F582" s="1">
        <v>102.01</v>
      </c>
      <c r="G582" s="4">
        <f t="shared" si="37"/>
        <v>-7.1053143858281764E-3</v>
      </c>
      <c r="I582" s="3">
        <v>45159</v>
      </c>
      <c r="J582" s="1">
        <v>114.652</v>
      </c>
      <c r="K582" s="4">
        <f t="shared" si="38"/>
        <v>5.0933190732087574E-3</v>
      </c>
      <c r="M582" s="5">
        <v>45159</v>
      </c>
      <c r="N582" s="2">
        <v>19310.150000000001</v>
      </c>
      <c r="O582" s="4">
        <f t="shared" si="39"/>
        <v>-2.8453027975366973E-3</v>
      </c>
    </row>
    <row r="583" spans="1:15" x14ac:dyDescent="0.25">
      <c r="A583" s="3">
        <v>45156</v>
      </c>
      <c r="B583" s="1">
        <v>291.81299999999999</v>
      </c>
      <c r="C583" s="4">
        <f t="shared" si="36"/>
        <v>2.2496376537823881E-3</v>
      </c>
      <c r="E583" s="3">
        <v>45156</v>
      </c>
      <c r="F583" s="1">
        <v>102.74</v>
      </c>
      <c r="G583" s="4">
        <f t="shared" si="37"/>
        <v>7.7927138125843953E-4</v>
      </c>
      <c r="I583" s="3">
        <v>45156</v>
      </c>
      <c r="J583" s="1">
        <v>114.071</v>
      </c>
      <c r="K583" s="4">
        <f t="shared" si="38"/>
        <v>6.5650727540655929E-3</v>
      </c>
      <c r="M583" s="5">
        <v>45156</v>
      </c>
      <c r="N583" s="2">
        <v>19365.25</v>
      </c>
      <c r="O583" s="4">
        <f t="shared" si="39"/>
        <v>-5.1245825841254034E-3</v>
      </c>
    </row>
    <row r="584" spans="1:15" x14ac:dyDescent="0.25">
      <c r="A584" s="3">
        <v>45155</v>
      </c>
      <c r="B584" s="1">
        <v>291.15800000000002</v>
      </c>
      <c r="C584" s="4">
        <f t="shared" si="36"/>
        <v>3.0142998384334874E-3</v>
      </c>
      <c r="E584" s="3">
        <v>45155</v>
      </c>
      <c r="F584" s="1">
        <v>102.66</v>
      </c>
      <c r="G584" s="4">
        <f t="shared" si="37"/>
        <v>5.1894644081074137E-3</v>
      </c>
      <c r="I584" s="3">
        <v>45155</v>
      </c>
      <c r="J584" s="1">
        <v>113.327</v>
      </c>
      <c r="K584" s="4">
        <f t="shared" si="38"/>
        <v>-3.8500417527359554E-3</v>
      </c>
      <c r="M584" s="5">
        <v>45155</v>
      </c>
      <c r="N584" s="2">
        <v>19465</v>
      </c>
      <c r="O584" s="4">
        <f t="shared" si="39"/>
        <v>1.5667972759854099E-3</v>
      </c>
    </row>
    <row r="585" spans="1:15" x14ac:dyDescent="0.25">
      <c r="A585" s="3">
        <v>45154</v>
      </c>
      <c r="B585" s="1">
        <v>290.28300000000002</v>
      </c>
      <c r="C585" s="4">
        <f t="shared" si="36"/>
        <v>6.0930595269041987E-3</v>
      </c>
      <c r="E585" s="3">
        <v>45154</v>
      </c>
      <c r="F585" s="1">
        <v>102.13</v>
      </c>
      <c r="G585" s="4">
        <f t="shared" si="37"/>
        <v>3.9319768013368339E-3</v>
      </c>
      <c r="I585" s="3">
        <v>45154</v>
      </c>
      <c r="J585" s="1">
        <v>113.765</v>
      </c>
      <c r="K585" s="4">
        <f t="shared" si="38"/>
        <v>-1.194019367696475E-3</v>
      </c>
      <c r="M585" s="5">
        <v>45154</v>
      </c>
      <c r="N585" s="2">
        <v>19434.55</v>
      </c>
      <c r="O585" s="4">
        <f t="shared" si="39"/>
        <v>3.2169567074835648E-4</v>
      </c>
    </row>
    <row r="586" spans="1:15" x14ac:dyDescent="0.25">
      <c r="A586" s="3">
        <v>45152</v>
      </c>
      <c r="B586" s="1">
        <v>288.52499999999998</v>
      </c>
      <c r="C586" s="4">
        <f t="shared" si="36"/>
        <v>-6.2067944076852344E-3</v>
      </c>
      <c r="E586" s="3">
        <v>45152</v>
      </c>
      <c r="F586" s="1">
        <v>101.73</v>
      </c>
      <c r="G586" s="4">
        <f t="shared" si="37"/>
        <v>6.3309921851815165E-3</v>
      </c>
      <c r="I586" s="3">
        <v>45152</v>
      </c>
      <c r="J586" s="1">
        <v>113.901</v>
      </c>
      <c r="K586" s="4">
        <f t="shared" si="38"/>
        <v>2.3320074624237908E-3</v>
      </c>
      <c r="M586" s="5">
        <v>45152</v>
      </c>
      <c r="N586" s="2">
        <v>19428.3</v>
      </c>
      <c r="O586" s="4">
        <f t="shared" si="39"/>
        <v>-5.8741960077981492E-3</v>
      </c>
    </row>
    <row r="587" spans="1:15" x14ac:dyDescent="0.25">
      <c r="A587" s="3">
        <v>45149</v>
      </c>
      <c r="B587" s="1">
        <v>290.327</v>
      </c>
      <c r="C587" s="4">
        <f t="shared" si="36"/>
        <v>1.4349231315817779E-3</v>
      </c>
      <c r="E587" s="3">
        <v>45149</v>
      </c>
      <c r="F587" s="1">
        <v>101.09</v>
      </c>
      <c r="G587" s="4">
        <f t="shared" si="37"/>
        <v>-3.5485460818136527E-3</v>
      </c>
      <c r="I587" s="3">
        <v>45149</v>
      </c>
      <c r="J587" s="1">
        <v>113.636</v>
      </c>
      <c r="K587" s="4">
        <f t="shared" si="38"/>
        <v>-3.0268202595169491E-3</v>
      </c>
      <c r="M587" s="5">
        <v>45149</v>
      </c>
      <c r="N587" s="2">
        <v>19543.099999999999</v>
      </c>
      <c r="O587" s="4">
        <f t="shared" si="39"/>
        <v>-4.5562089489139534E-3</v>
      </c>
    </row>
    <row r="588" spans="1:15" x14ac:dyDescent="0.25">
      <c r="A588" s="3">
        <v>45148</v>
      </c>
      <c r="B588" s="1">
        <v>289.911</v>
      </c>
      <c r="C588" s="4">
        <f t="shared" si="36"/>
        <v>4.6017956705695084E-3</v>
      </c>
      <c r="E588" s="3">
        <v>45148</v>
      </c>
      <c r="F588" s="1">
        <v>101.45</v>
      </c>
      <c r="G588" s="4">
        <f t="shared" si="37"/>
        <v>-2.7523837609357837E-3</v>
      </c>
      <c r="I588" s="3">
        <v>45148</v>
      </c>
      <c r="J588" s="1">
        <v>113.98099999999999</v>
      </c>
      <c r="K588" s="4">
        <f t="shared" si="38"/>
        <v>-5.8785050804588401E-3</v>
      </c>
      <c r="M588" s="5">
        <v>45148</v>
      </c>
      <c r="N588" s="2">
        <v>19632.55</v>
      </c>
      <c r="O588" s="4">
        <f t="shared" si="39"/>
        <v>3.152647943242215E-3</v>
      </c>
    </row>
    <row r="589" spans="1:15" x14ac:dyDescent="0.25">
      <c r="A589" s="3">
        <v>45147</v>
      </c>
      <c r="B589" s="1">
        <v>288.58300000000003</v>
      </c>
      <c r="C589" s="4">
        <f t="shared" si="36"/>
        <v>6.1782846543543268E-3</v>
      </c>
      <c r="E589" s="3">
        <v>45147</v>
      </c>
      <c r="F589" s="1">
        <v>101.73</v>
      </c>
      <c r="G589" s="4">
        <f t="shared" si="37"/>
        <v>2.8588328075709324E-3</v>
      </c>
      <c r="I589" s="3">
        <v>45147</v>
      </c>
      <c r="J589" s="1">
        <v>114.655</v>
      </c>
      <c r="K589" s="4">
        <f t="shared" si="38"/>
        <v>-4.7309027777777679E-3</v>
      </c>
      <c r="M589" s="5">
        <v>45147</v>
      </c>
      <c r="N589" s="2">
        <v>19570.849999999999</v>
      </c>
      <c r="O589" s="4">
        <f t="shared" si="39"/>
        <v>-1.3496757206350463E-3</v>
      </c>
    </row>
    <row r="590" spans="1:15" x14ac:dyDescent="0.25">
      <c r="A590" s="3">
        <v>45146</v>
      </c>
      <c r="B590" s="1">
        <v>286.81099999999998</v>
      </c>
      <c r="C590" s="4">
        <f t="shared" si="36"/>
        <v>3.6111820672617423E-3</v>
      </c>
      <c r="E590" s="3">
        <v>45146</v>
      </c>
      <c r="F590" s="1">
        <v>101.44</v>
      </c>
      <c r="G590" s="4">
        <f t="shared" si="37"/>
        <v>-9.8570724494928541E-5</v>
      </c>
      <c r="I590" s="3">
        <v>45146</v>
      </c>
      <c r="J590" s="1">
        <v>115.2</v>
      </c>
      <c r="K590" s="4">
        <f t="shared" si="38"/>
        <v>4.8322662805506678E-3</v>
      </c>
      <c r="M590" s="5">
        <v>45146</v>
      </c>
      <c r="N590" s="2">
        <v>19597.3</v>
      </c>
      <c r="O590" s="4">
        <f t="shared" si="39"/>
        <v>4.1143618383971958E-3</v>
      </c>
    </row>
    <row r="591" spans="1:15" x14ac:dyDescent="0.25">
      <c r="A591" s="3">
        <v>45145</v>
      </c>
      <c r="B591" s="1">
        <v>285.779</v>
      </c>
      <c r="C591" s="4">
        <f t="shared" si="36"/>
        <v>-2.8193881788077801E-3</v>
      </c>
      <c r="E591" s="3">
        <v>45145</v>
      </c>
      <c r="F591" s="1">
        <v>101.45</v>
      </c>
      <c r="G591" s="4">
        <f t="shared" si="37"/>
        <v>-3.6338636810056002E-3</v>
      </c>
      <c r="I591" s="3">
        <v>45145</v>
      </c>
      <c r="J591" s="1">
        <v>114.646</v>
      </c>
      <c r="K591" s="4">
        <f t="shared" si="38"/>
        <v>1.5287714792393547E-3</v>
      </c>
      <c r="M591" s="5">
        <v>45145</v>
      </c>
      <c r="N591" s="2">
        <v>19517</v>
      </c>
      <c r="O591" s="4">
        <f t="shared" si="39"/>
        <v>6.983409565233023E-3</v>
      </c>
    </row>
    <row r="592" spans="1:15" x14ac:dyDescent="0.25">
      <c r="A592" s="3">
        <v>45142</v>
      </c>
      <c r="B592" s="1">
        <v>286.58699999999999</v>
      </c>
      <c r="C592" s="4">
        <f t="shared" si="36"/>
        <v>-1.6859940572194754E-3</v>
      </c>
      <c r="E592" s="3">
        <v>45142</v>
      </c>
      <c r="F592" s="1">
        <v>101.82</v>
      </c>
      <c r="G592" s="4">
        <f t="shared" si="37"/>
        <v>-4.3027576765110043E-3</v>
      </c>
      <c r="I592" s="3">
        <v>45142</v>
      </c>
      <c r="J592" s="1">
        <v>114.471</v>
      </c>
      <c r="K592" s="4">
        <f t="shared" si="38"/>
        <v>4.3870809240946773E-3</v>
      </c>
      <c r="M592" s="5">
        <v>45142</v>
      </c>
      <c r="N592" s="2">
        <v>19381.650000000001</v>
      </c>
      <c r="O592" s="4">
        <f t="shared" si="39"/>
        <v>-7.4206657089961325E-3</v>
      </c>
    </row>
    <row r="593" spans="1:15" x14ac:dyDescent="0.25">
      <c r="A593" s="3">
        <v>45141</v>
      </c>
      <c r="B593" s="1">
        <v>287.07100000000003</v>
      </c>
      <c r="C593" s="4">
        <f t="shared" si="36"/>
        <v>6.0648943697572122E-4</v>
      </c>
      <c r="E593" s="3">
        <v>45141</v>
      </c>
      <c r="F593" s="1">
        <v>102.26</v>
      </c>
      <c r="G593" s="4">
        <f t="shared" si="37"/>
        <v>2.745636399293927E-3</v>
      </c>
      <c r="I593" s="3">
        <v>45141</v>
      </c>
      <c r="J593" s="1">
        <v>113.971</v>
      </c>
      <c r="K593" s="4">
        <f t="shared" si="38"/>
        <v>6.7486992853800221E-3</v>
      </c>
      <c r="M593" s="5">
        <v>45141</v>
      </c>
      <c r="N593" s="2">
        <v>19526.55</v>
      </c>
      <c r="O593" s="4">
        <f t="shared" si="39"/>
        <v>-1.0489749690248296E-2</v>
      </c>
    </row>
    <row r="594" spans="1:15" x14ac:dyDescent="0.25">
      <c r="A594" s="3">
        <v>45140</v>
      </c>
      <c r="B594" s="1">
        <v>286.89699999999999</v>
      </c>
      <c r="C594" s="4">
        <f t="shared" si="36"/>
        <v>-4.6593116847072347E-3</v>
      </c>
      <c r="E594" s="3">
        <v>45140</v>
      </c>
      <c r="F594" s="1">
        <v>101.98</v>
      </c>
      <c r="G594" s="4">
        <f t="shared" si="37"/>
        <v>4.905327185322772E-4</v>
      </c>
      <c r="I594" s="3">
        <v>45140</v>
      </c>
      <c r="J594" s="1">
        <v>113.20699999999999</v>
      </c>
      <c r="K594" s="4">
        <f t="shared" si="38"/>
        <v>-5.2196377887716583E-3</v>
      </c>
      <c r="M594" s="5">
        <v>45140</v>
      </c>
      <c r="N594" s="2">
        <v>19733.55</v>
      </c>
      <c r="O594" s="4">
        <f t="shared" si="39"/>
        <v>-1.0251192175683155E-3</v>
      </c>
    </row>
    <row r="595" spans="1:15" x14ac:dyDescent="0.25">
      <c r="A595" s="3">
        <v>45139</v>
      </c>
      <c r="B595" s="1">
        <v>288.24</v>
      </c>
      <c r="C595" s="4">
        <f t="shared" si="36"/>
        <v>-6.2163196491554773E-3</v>
      </c>
      <c r="E595" s="3">
        <v>45139</v>
      </c>
      <c r="F595" s="1">
        <v>101.93</v>
      </c>
      <c r="G595" s="4">
        <f t="shared" si="37"/>
        <v>4.731394775751685E-3</v>
      </c>
      <c r="I595" s="3">
        <v>45139</v>
      </c>
      <c r="J595" s="1">
        <v>113.801</v>
      </c>
      <c r="K595" s="4">
        <f t="shared" si="38"/>
        <v>-1.3026547444559111E-2</v>
      </c>
      <c r="M595" s="5">
        <v>45139</v>
      </c>
      <c r="N595" s="2">
        <v>19753.8</v>
      </c>
      <c r="O595" s="4">
        <f t="shared" si="39"/>
        <v>5.4845630546598301E-3</v>
      </c>
    </row>
    <row r="596" spans="1:15" x14ac:dyDescent="0.25">
      <c r="A596" s="3">
        <v>45138</v>
      </c>
      <c r="B596" s="1">
        <v>290.04300000000001</v>
      </c>
      <c r="C596" s="4">
        <f t="shared" si="36"/>
        <v>-7.47605594983769E-4</v>
      </c>
      <c r="E596" s="3">
        <v>45138</v>
      </c>
      <c r="F596" s="1">
        <v>101.45</v>
      </c>
      <c r="G596" s="4">
        <f t="shared" si="37"/>
        <v>8.6498309803142437E-3</v>
      </c>
      <c r="I596" s="3">
        <v>45138</v>
      </c>
      <c r="J596" s="1">
        <v>115.303</v>
      </c>
      <c r="K596" s="4">
        <f t="shared" si="38"/>
        <v>-3.4679174288865244E-4</v>
      </c>
      <c r="M596" s="5">
        <v>45138</v>
      </c>
      <c r="N596" s="2">
        <v>19646.05</v>
      </c>
      <c r="O596" s="4">
        <f t="shared" si="39"/>
        <v>-7.044796769059003E-4</v>
      </c>
    </row>
    <row r="597" spans="1:15" x14ac:dyDescent="0.25">
      <c r="A597" s="3">
        <v>45135</v>
      </c>
      <c r="B597" s="1">
        <v>290.26</v>
      </c>
      <c r="C597" s="4">
        <f t="shared" si="36"/>
        <v>5.1563349505316936E-3</v>
      </c>
      <c r="E597" s="3">
        <v>45135</v>
      </c>
      <c r="F597" s="1">
        <v>100.58</v>
      </c>
      <c r="G597" s="4">
        <f t="shared" si="37"/>
        <v>-4.2570042570043709E-3</v>
      </c>
      <c r="I597" s="3">
        <v>45135</v>
      </c>
      <c r="J597" s="1">
        <v>115.343</v>
      </c>
      <c r="K597" s="4">
        <f t="shared" si="38"/>
        <v>8.3311478276073547E-3</v>
      </c>
      <c r="M597" s="5">
        <v>45135</v>
      </c>
      <c r="N597" s="2">
        <v>19659.900000000001</v>
      </c>
      <c r="O597" s="4">
        <f t="shared" si="39"/>
        <v>-5.9863587871554769E-3</v>
      </c>
    </row>
    <row r="598" spans="1:15" x14ac:dyDescent="0.25">
      <c r="A598" s="3">
        <v>45134</v>
      </c>
      <c r="B598" s="1">
        <v>288.77100000000002</v>
      </c>
      <c r="C598" s="4">
        <f t="shared" si="36"/>
        <v>2.8302935170652077E-3</v>
      </c>
      <c r="E598" s="3">
        <v>45134</v>
      </c>
      <c r="F598" s="1">
        <v>101.01</v>
      </c>
      <c r="G598" s="4">
        <f t="shared" si="37"/>
        <v>-1.0966415352981373E-2</v>
      </c>
      <c r="I598" s="3">
        <v>45134</v>
      </c>
      <c r="J598" s="1">
        <v>114.39</v>
      </c>
      <c r="K598" s="4">
        <f t="shared" si="38"/>
        <v>1.426983112574165E-3</v>
      </c>
      <c r="M598" s="5">
        <v>45134</v>
      </c>
      <c r="N598" s="2">
        <v>19778.3</v>
      </c>
      <c r="O598" s="4">
        <f t="shared" si="39"/>
        <v>4.9642795443227694E-3</v>
      </c>
    </row>
    <row r="599" spans="1:15" x14ac:dyDescent="0.25">
      <c r="A599" s="3">
        <v>45133</v>
      </c>
      <c r="B599" s="1">
        <v>287.95600000000002</v>
      </c>
      <c r="C599" s="4">
        <f t="shared" si="36"/>
        <v>1.6278940338378955E-3</v>
      </c>
      <c r="E599" s="3">
        <v>45133</v>
      </c>
      <c r="F599" s="1">
        <v>102.13</v>
      </c>
      <c r="G599" s="4">
        <f t="shared" si="37"/>
        <v>1.3726835964309458E-3</v>
      </c>
      <c r="I599" s="3">
        <v>45133</v>
      </c>
      <c r="J599" s="1">
        <v>114.227</v>
      </c>
      <c r="K599" s="4">
        <f t="shared" si="38"/>
        <v>2.1891035183285723E-4</v>
      </c>
      <c r="M599" s="5">
        <v>45133</v>
      </c>
      <c r="N599" s="2">
        <v>19680.599999999999</v>
      </c>
      <c r="O599" s="4">
        <f t="shared" si="39"/>
        <v>4.1937033450500927E-4</v>
      </c>
    </row>
    <row r="600" spans="1:15" x14ac:dyDescent="0.25">
      <c r="A600" s="3">
        <v>45132</v>
      </c>
      <c r="B600" s="1">
        <v>287.488</v>
      </c>
      <c r="C600" s="4">
        <f t="shared" si="36"/>
        <v>6.6035952129188669E-3</v>
      </c>
      <c r="E600" s="3">
        <v>45132</v>
      </c>
      <c r="F600" s="1">
        <v>101.99</v>
      </c>
      <c r="G600" s="4">
        <f t="shared" si="37"/>
        <v>7.109706724597542E-3</v>
      </c>
      <c r="I600" s="3">
        <v>45132</v>
      </c>
      <c r="J600" s="1">
        <v>114.202</v>
      </c>
      <c r="K600" s="4">
        <f t="shared" si="38"/>
        <v>2.8891835641460251E-3</v>
      </c>
      <c r="M600" s="5">
        <v>45132</v>
      </c>
      <c r="N600" s="2">
        <v>19672.349999999999</v>
      </c>
      <c r="O600" s="4">
        <f t="shared" si="39"/>
        <v>-3.679412509496105E-3</v>
      </c>
    </row>
    <row r="601" spans="1:15" x14ac:dyDescent="0.25">
      <c r="A601" s="3">
        <v>45131</v>
      </c>
      <c r="B601" s="1">
        <v>285.60199999999998</v>
      </c>
      <c r="C601" s="4">
        <f t="shared" si="36"/>
        <v>-9.6544679898424857E-4</v>
      </c>
      <c r="E601" s="3">
        <v>45131</v>
      </c>
      <c r="F601" s="1">
        <v>101.27</v>
      </c>
      <c r="G601" s="4">
        <f t="shared" si="37"/>
        <v>2.5740025740024208E-3</v>
      </c>
      <c r="I601" s="3">
        <v>45131</v>
      </c>
      <c r="J601" s="1">
        <v>113.873</v>
      </c>
      <c r="K601" s="4">
        <f t="shared" si="38"/>
        <v>2.1208814418474109E-3</v>
      </c>
      <c r="M601" s="5">
        <v>45131</v>
      </c>
      <c r="N601" s="2">
        <v>19745</v>
      </c>
      <c r="O601" s="4">
        <f t="shared" si="39"/>
        <v>-1.1719717805812602E-2</v>
      </c>
    </row>
    <row r="602" spans="1:15" x14ac:dyDescent="0.25">
      <c r="A602" s="3">
        <v>45128</v>
      </c>
      <c r="B602" s="1">
        <v>285.87799999999999</v>
      </c>
      <c r="C602" s="4">
        <f t="shared" si="36"/>
        <v>-1.4108404691536069E-2</v>
      </c>
      <c r="E602" s="3">
        <v>45128</v>
      </c>
      <c r="F602" s="1">
        <v>101.01</v>
      </c>
      <c r="G602" s="4">
        <f t="shared" si="37"/>
        <v>-1.2853470437017567E-3</v>
      </c>
      <c r="I602" s="3">
        <v>45128</v>
      </c>
      <c r="J602" s="1">
        <v>113.63200000000001</v>
      </c>
      <c r="K602" s="4">
        <f t="shared" si="38"/>
        <v>2.0281829244634952E-3</v>
      </c>
      <c r="M602" s="5">
        <v>45128</v>
      </c>
      <c r="N602" s="2">
        <v>19979.150000000001</v>
      </c>
      <c r="O602" s="4">
        <f t="shared" si="39"/>
        <v>7.3614125844860823E-3</v>
      </c>
    </row>
    <row r="603" spans="1:15" x14ac:dyDescent="0.25">
      <c r="A603" s="3">
        <v>45127</v>
      </c>
      <c r="B603" s="1">
        <v>289.96899999999999</v>
      </c>
      <c r="C603" s="4">
        <f t="shared" si="36"/>
        <v>-1.7935212916108112E-3</v>
      </c>
      <c r="E603" s="3">
        <v>45127</v>
      </c>
      <c r="F603" s="1">
        <v>101.14</v>
      </c>
      <c r="G603" s="4">
        <f t="shared" si="37"/>
        <v>1.7828843106182379E-3</v>
      </c>
      <c r="I603" s="3">
        <v>45127</v>
      </c>
      <c r="J603" s="1">
        <v>113.402</v>
      </c>
      <c r="K603" s="4">
        <f t="shared" si="38"/>
        <v>-8.316353746731564E-3</v>
      </c>
      <c r="M603" s="5">
        <v>45127</v>
      </c>
      <c r="N603" s="2">
        <v>19833.150000000001</v>
      </c>
      <c r="O603" s="4">
        <f t="shared" si="39"/>
        <v>4.248262592250418E-3</v>
      </c>
    </row>
    <row r="604" spans="1:15" x14ac:dyDescent="0.25">
      <c r="A604" s="3">
        <v>45126</v>
      </c>
      <c r="B604" s="1">
        <v>290.49</v>
      </c>
      <c r="C604" s="4">
        <f t="shared" si="36"/>
        <v>9.1749493658133119E-3</v>
      </c>
      <c r="E604" s="3">
        <v>45126</v>
      </c>
      <c r="F604" s="1">
        <v>100.96</v>
      </c>
      <c r="G604" s="4">
        <f t="shared" si="37"/>
        <v>2.5819265143991466E-3</v>
      </c>
      <c r="I604" s="3">
        <v>45126</v>
      </c>
      <c r="J604" s="1">
        <v>114.35299999999999</v>
      </c>
      <c r="K604" s="4">
        <f t="shared" si="38"/>
        <v>4.9653742046613658E-3</v>
      </c>
      <c r="M604" s="5">
        <v>45126</v>
      </c>
      <c r="N604" s="2">
        <v>19749.25</v>
      </c>
      <c r="O604" s="4">
        <f t="shared" si="39"/>
        <v>1.9176671427012515E-3</v>
      </c>
    </row>
    <row r="605" spans="1:15" x14ac:dyDescent="0.25">
      <c r="A605" s="3">
        <v>45125</v>
      </c>
      <c r="B605" s="1">
        <v>287.84899999999999</v>
      </c>
      <c r="C605" s="4">
        <f t="shared" si="36"/>
        <v>3.1993754596053581E-3</v>
      </c>
      <c r="E605" s="3">
        <v>45125</v>
      </c>
      <c r="F605" s="1">
        <v>100.7</v>
      </c>
      <c r="G605" s="4">
        <f t="shared" si="37"/>
        <v>-1.784298176050636E-3</v>
      </c>
      <c r="I605" s="3">
        <v>45125</v>
      </c>
      <c r="J605" s="1">
        <v>113.788</v>
      </c>
      <c r="K605" s="4">
        <f t="shared" si="38"/>
        <v>6.1809725083783462E-3</v>
      </c>
      <c r="M605" s="5">
        <v>45125</v>
      </c>
      <c r="N605" s="2">
        <v>19711.45</v>
      </c>
      <c r="O605" s="4">
        <f t="shared" si="39"/>
        <v>7.5110531830611116E-3</v>
      </c>
    </row>
    <row r="606" spans="1:15" x14ac:dyDescent="0.25">
      <c r="A606" s="3">
        <v>45124</v>
      </c>
      <c r="B606" s="1">
        <v>286.93099999999998</v>
      </c>
      <c r="C606" s="4">
        <f t="shared" si="36"/>
        <v>-1.0340217527540219E-3</v>
      </c>
      <c r="E606" s="3">
        <v>45124</v>
      </c>
      <c r="F606" s="1">
        <v>100.88</v>
      </c>
      <c r="G606" s="4">
        <f t="shared" si="37"/>
        <v>-9.6210484979384336E-3</v>
      </c>
      <c r="I606" s="3">
        <v>45124</v>
      </c>
      <c r="J606" s="1">
        <v>113.089</v>
      </c>
      <c r="K606" s="4">
        <f t="shared" si="38"/>
        <v>1.1496692490009508E-4</v>
      </c>
      <c r="M606" s="5">
        <v>45124</v>
      </c>
      <c r="N606" s="2">
        <v>19564.5</v>
      </c>
      <c r="O606" s="4">
        <f t="shared" si="39"/>
        <v>7.7651149314275081E-3</v>
      </c>
    </row>
    <row r="607" spans="1:15" x14ac:dyDescent="0.25">
      <c r="A607" s="3">
        <v>45121</v>
      </c>
      <c r="B607" s="1">
        <v>287.22800000000001</v>
      </c>
      <c r="C607" s="4">
        <f t="shared" si="36"/>
        <v>5.1653181780004775E-3</v>
      </c>
      <c r="E607" s="3">
        <v>45121</v>
      </c>
      <c r="F607" s="1">
        <v>101.86</v>
      </c>
      <c r="G607" s="4">
        <f t="shared" si="37"/>
        <v>3.4479361639245809E-3</v>
      </c>
      <c r="I607" s="3">
        <v>45121</v>
      </c>
      <c r="J607" s="1">
        <v>113.07599999999999</v>
      </c>
      <c r="K607" s="4">
        <f t="shared" si="38"/>
        <v>3.9866106706207827E-3</v>
      </c>
      <c r="M607" s="5">
        <v>45121</v>
      </c>
      <c r="N607" s="2">
        <v>19413.75</v>
      </c>
      <c r="O607" s="4">
        <f t="shared" si="39"/>
        <v>1.5192707500399916E-3</v>
      </c>
    </row>
    <row r="608" spans="1:15" x14ac:dyDescent="0.25">
      <c r="A608" s="3">
        <v>45120</v>
      </c>
      <c r="B608" s="1">
        <v>285.75200000000001</v>
      </c>
      <c r="C608" s="4">
        <f t="shared" si="36"/>
        <v>5.6024774774774411E-3</v>
      </c>
      <c r="E608" s="3">
        <v>45120</v>
      </c>
      <c r="F608" s="1">
        <v>101.51</v>
      </c>
      <c r="G608" s="4">
        <f t="shared" si="37"/>
        <v>5.9458923793480611E-3</v>
      </c>
      <c r="I608" s="3">
        <v>45120</v>
      </c>
      <c r="J608" s="1">
        <v>112.627</v>
      </c>
      <c r="K608" s="4">
        <f t="shared" si="38"/>
        <v>7.5323165004248516E-3</v>
      </c>
      <c r="M608" s="5">
        <v>45120</v>
      </c>
      <c r="N608" s="2">
        <v>19384.3</v>
      </c>
      <c r="O608" s="4">
        <f t="shared" si="39"/>
        <v>-2.8344496229308902E-3</v>
      </c>
    </row>
    <row r="609" spans="1:15" x14ac:dyDescent="0.25">
      <c r="A609" s="3">
        <v>45119</v>
      </c>
      <c r="B609" s="1">
        <v>284.16000000000003</v>
      </c>
      <c r="C609" s="4">
        <f t="shared" si="36"/>
        <v>1.1944147896032486E-3</v>
      </c>
      <c r="E609" s="3">
        <v>45119</v>
      </c>
      <c r="F609" s="1">
        <v>100.91</v>
      </c>
      <c r="G609" s="4">
        <f t="shared" si="37"/>
        <v>3.9655001487060026E-4</v>
      </c>
      <c r="I609" s="3">
        <v>45119</v>
      </c>
      <c r="J609" s="1">
        <v>111.785</v>
      </c>
      <c r="K609" s="4">
        <f t="shared" si="38"/>
        <v>-3.5033607302680236E-3</v>
      </c>
      <c r="M609" s="5">
        <v>45119</v>
      </c>
      <c r="N609" s="2">
        <v>19439.400000000001</v>
      </c>
      <c r="O609" s="4">
        <f t="shared" si="39"/>
        <v>4.3139301194985435E-3</v>
      </c>
    </row>
    <row r="610" spans="1:15" x14ac:dyDescent="0.25">
      <c r="A610" s="3">
        <v>45118</v>
      </c>
      <c r="B610" s="1">
        <v>283.82100000000003</v>
      </c>
      <c r="C610" s="4">
        <f t="shared" si="36"/>
        <v>-4.5769238862817252E-3</v>
      </c>
      <c r="E610" s="3">
        <v>45118</v>
      </c>
      <c r="F610" s="1">
        <v>100.87</v>
      </c>
      <c r="G610" s="4">
        <f t="shared" si="37"/>
        <v>4.9815681976685955E-3</v>
      </c>
      <c r="I610" s="3">
        <v>45118</v>
      </c>
      <c r="J610" s="1">
        <v>112.178</v>
      </c>
      <c r="K610" s="4">
        <f t="shared" si="38"/>
        <v>-2.3172079426758696E-4</v>
      </c>
      <c r="M610" s="5">
        <v>45118</v>
      </c>
      <c r="N610" s="2">
        <v>19355.900000000001</v>
      </c>
      <c r="O610" s="4">
        <f t="shared" si="39"/>
        <v>1.2466505964268126E-3</v>
      </c>
    </row>
    <row r="611" spans="1:15" x14ac:dyDescent="0.25">
      <c r="A611" s="3">
        <v>45117</v>
      </c>
      <c r="B611" s="1">
        <v>285.12599999999998</v>
      </c>
      <c r="C611" s="4">
        <f t="shared" si="36"/>
        <v>4.3502611917953793E-3</v>
      </c>
      <c r="E611" s="3">
        <v>45117</v>
      </c>
      <c r="F611" s="1">
        <v>100.37</v>
      </c>
      <c r="G611" s="4">
        <f t="shared" si="37"/>
        <v>1.1488461150861662E-2</v>
      </c>
      <c r="I611" s="3">
        <v>45117</v>
      </c>
      <c r="J611" s="1">
        <v>112.20399999999999</v>
      </c>
      <c r="K611" s="4">
        <f t="shared" si="38"/>
        <v>5.8087417978414102E-3</v>
      </c>
      <c r="M611" s="5">
        <v>45117</v>
      </c>
      <c r="N611" s="2">
        <v>19331.8</v>
      </c>
      <c r="O611" s="4">
        <f t="shared" si="39"/>
        <v>-8.4883547978438223E-3</v>
      </c>
    </row>
    <row r="612" spans="1:15" x14ac:dyDescent="0.25">
      <c r="A612" s="3">
        <v>45114</v>
      </c>
      <c r="B612" s="1">
        <v>283.89100000000002</v>
      </c>
      <c r="C612" s="4">
        <f t="shared" si="36"/>
        <v>4.9452377749614751E-3</v>
      </c>
      <c r="E612" s="3">
        <v>45114</v>
      </c>
      <c r="F612" s="1">
        <v>99.23</v>
      </c>
      <c r="G612" s="4">
        <f t="shared" si="37"/>
        <v>7.059298104075129E-4</v>
      </c>
      <c r="I612" s="3">
        <v>45114</v>
      </c>
      <c r="J612" s="1">
        <v>111.556</v>
      </c>
      <c r="K612" s="4">
        <f t="shared" si="38"/>
        <v>-8.3296760382989277E-4</v>
      </c>
      <c r="M612" s="5">
        <v>45114</v>
      </c>
      <c r="N612" s="2">
        <v>19497.3</v>
      </c>
      <c r="O612" s="4">
        <f t="shared" si="39"/>
        <v>5.0931773075237885E-3</v>
      </c>
    </row>
    <row r="613" spans="1:15" x14ac:dyDescent="0.25">
      <c r="A613" s="3">
        <v>45113</v>
      </c>
      <c r="B613" s="1">
        <v>282.49400000000003</v>
      </c>
      <c r="C613" s="4">
        <f t="shared" si="36"/>
        <v>-4.8119449456873742E-4</v>
      </c>
      <c r="E613" s="3">
        <v>45113</v>
      </c>
      <c r="F613" s="1">
        <v>99.16</v>
      </c>
      <c r="G613" s="4">
        <f t="shared" si="37"/>
        <v>0</v>
      </c>
      <c r="I613" s="3">
        <v>45113</v>
      </c>
      <c r="J613" s="1">
        <v>111.649</v>
      </c>
      <c r="K613" s="4">
        <f t="shared" si="38"/>
        <v>-9.2992714979103219E-3</v>
      </c>
      <c r="M613" s="5">
        <v>45113</v>
      </c>
      <c r="N613" s="2">
        <v>19398.5</v>
      </c>
      <c r="O613" s="4">
        <f t="shared" si="39"/>
        <v>4.8996853886218439E-4</v>
      </c>
    </row>
    <row r="614" spans="1:15" x14ac:dyDescent="0.25">
      <c r="A614" s="3">
        <v>45112</v>
      </c>
      <c r="B614" s="1">
        <v>282.63</v>
      </c>
      <c r="C614" s="4">
        <f t="shared" si="36"/>
        <v>5.0996457986598465E-3</v>
      </c>
      <c r="E614" s="3">
        <v>45112</v>
      </c>
      <c r="F614" s="1">
        <v>99.16</v>
      </c>
      <c r="G614" s="4">
        <f t="shared" si="37"/>
        <v>7.3140999593661604E-3</v>
      </c>
      <c r="I614" s="3">
        <v>45112</v>
      </c>
      <c r="J614" s="1">
        <v>112.697</v>
      </c>
      <c r="K614" s="4">
        <f t="shared" si="38"/>
        <v>4.9938914006972812E-3</v>
      </c>
      <c r="M614" s="5">
        <v>45112</v>
      </c>
      <c r="N614" s="2">
        <v>19389</v>
      </c>
      <c r="O614" s="4">
        <f t="shared" si="39"/>
        <v>3.4389870902133968E-3</v>
      </c>
    </row>
    <row r="615" spans="1:15" x14ac:dyDescent="0.25">
      <c r="A615" s="3">
        <v>45111</v>
      </c>
      <c r="B615" s="1">
        <v>281.19600000000003</v>
      </c>
      <c r="C615" s="4">
        <f t="shared" si="36"/>
        <v>9.4738240288343434E-3</v>
      </c>
      <c r="E615" s="3">
        <v>45111</v>
      </c>
      <c r="F615" s="1">
        <v>98.44</v>
      </c>
      <c r="G615" s="4">
        <f t="shared" si="37"/>
        <v>-2.0275750202757292E-3</v>
      </c>
      <c r="I615" s="3">
        <v>45111</v>
      </c>
      <c r="J615" s="1">
        <v>112.137</v>
      </c>
      <c r="K615" s="4">
        <f t="shared" si="38"/>
        <v>4.9829272008674597E-3</v>
      </c>
      <c r="M615" s="5">
        <v>45111</v>
      </c>
      <c r="N615" s="2">
        <v>19322.55</v>
      </c>
      <c r="O615" s="4">
        <f t="shared" si="39"/>
        <v>6.9570927169402275E-3</v>
      </c>
    </row>
    <row r="616" spans="1:15" x14ac:dyDescent="0.25">
      <c r="A616" s="3">
        <v>45110</v>
      </c>
      <c r="B616" s="1">
        <v>278.55700000000002</v>
      </c>
      <c r="C616" s="4">
        <f t="shared" si="36"/>
        <v>-4.1648493861761171E-3</v>
      </c>
      <c r="E616" s="3">
        <v>45110</v>
      </c>
      <c r="F616" s="1">
        <v>98.64</v>
      </c>
      <c r="G616" s="4">
        <f t="shared" si="37"/>
        <v>-6.2462220431190874E-3</v>
      </c>
      <c r="I616" s="3">
        <v>45110</v>
      </c>
      <c r="J616" s="1">
        <v>111.581</v>
      </c>
      <c r="K616" s="4">
        <f t="shared" si="38"/>
        <v>1.8945856155159202E-3</v>
      </c>
      <c r="M616" s="5">
        <v>45110</v>
      </c>
      <c r="N616" s="2">
        <v>19189.05</v>
      </c>
      <c r="O616" s="4">
        <f t="shared" si="39"/>
        <v>1.1435212759789426E-2</v>
      </c>
    </row>
    <row r="617" spans="1:15" x14ac:dyDescent="0.25">
      <c r="A617" s="3">
        <v>45107</v>
      </c>
      <c r="B617" s="1">
        <v>279.72199999999998</v>
      </c>
      <c r="C617" s="4">
        <f t="shared" si="36"/>
        <v>1.4463801115573993E-3</v>
      </c>
      <c r="E617" s="3">
        <v>45107</v>
      </c>
      <c r="F617" s="1">
        <v>99.26</v>
      </c>
      <c r="G617" s="4">
        <f t="shared" si="37"/>
        <v>4.8592832557197152E-3</v>
      </c>
      <c r="I617" s="3">
        <v>45107</v>
      </c>
      <c r="J617" s="1">
        <v>111.37</v>
      </c>
      <c r="K617" s="4">
        <f t="shared" si="38"/>
        <v>4.8088634661711538E-3</v>
      </c>
      <c r="M617" s="5">
        <v>45107</v>
      </c>
      <c r="N617" s="2">
        <v>18972.099999999999</v>
      </c>
      <c r="O617" s="4">
        <f t="shared" si="39"/>
        <v>8.2211145004089659E-3</v>
      </c>
    </row>
    <row r="618" spans="1:15" x14ac:dyDescent="0.25">
      <c r="A618" s="3">
        <v>45105</v>
      </c>
      <c r="B618" s="1">
        <v>279.31799999999998</v>
      </c>
      <c r="C618" s="4">
        <f t="shared" si="36"/>
        <v>5.1134053264338952E-3</v>
      </c>
      <c r="E618" s="3">
        <v>45105</v>
      </c>
      <c r="F618" s="1">
        <v>98.78</v>
      </c>
      <c r="G618" s="4">
        <f t="shared" si="37"/>
        <v>1.0133765707336373E-3</v>
      </c>
      <c r="I618" s="3">
        <v>45105</v>
      </c>
      <c r="J618" s="1">
        <v>110.837</v>
      </c>
      <c r="K618" s="4">
        <f t="shared" si="38"/>
        <v>1.2589188645977023E-2</v>
      </c>
      <c r="M618" s="5">
        <v>45105</v>
      </c>
      <c r="N618" s="2">
        <v>18817.400000000001</v>
      </c>
      <c r="O618" s="4">
        <f t="shared" si="39"/>
        <v>6.7518404382811426E-3</v>
      </c>
    </row>
    <row r="619" spans="1:15" x14ac:dyDescent="0.25">
      <c r="A619" s="3">
        <v>45104</v>
      </c>
      <c r="B619" s="1">
        <v>277.89699999999999</v>
      </c>
      <c r="C619" s="4">
        <f t="shared" si="36"/>
        <v>-9.7063993931700843E-4</v>
      </c>
      <c r="E619" s="3">
        <v>45104</v>
      </c>
      <c r="F619" s="1">
        <v>98.68</v>
      </c>
      <c r="G619" s="4">
        <f t="shared" si="37"/>
        <v>2.1326292271759417E-3</v>
      </c>
      <c r="I619" s="3">
        <v>45104</v>
      </c>
      <c r="J619" s="1">
        <v>109.459</v>
      </c>
      <c r="K619" s="4">
        <f t="shared" si="38"/>
        <v>7.4088390671305238E-3</v>
      </c>
      <c r="M619" s="5">
        <v>45104</v>
      </c>
      <c r="N619" s="2">
        <v>18691.2</v>
      </c>
      <c r="O619" s="4">
        <f t="shared" si="39"/>
        <v>1.3768717687712151E-3</v>
      </c>
    </row>
    <row r="620" spans="1:15" x14ac:dyDescent="0.25">
      <c r="A620" s="3">
        <v>45103</v>
      </c>
      <c r="B620" s="1">
        <v>278.16699999999997</v>
      </c>
      <c r="C620" s="4">
        <f t="shared" si="36"/>
        <v>-4.7692307692308589E-3</v>
      </c>
      <c r="E620" s="3">
        <v>45103</v>
      </c>
      <c r="F620" s="1">
        <v>98.47</v>
      </c>
      <c r="G620" s="4">
        <f t="shared" si="37"/>
        <v>3.8739932714852987E-3</v>
      </c>
      <c r="I620" s="3">
        <v>45103</v>
      </c>
      <c r="J620" s="1">
        <v>108.654</v>
      </c>
      <c r="K620" s="4">
        <f t="shared" si="38"/>
        <v>7.2680077871511983E-3</v>
      </c>
      <c r="M620" s="5">
        <v>45103</v>
      </c>
      <c r="N620" s="2">
        <v>18665.5</v>
      </c>
      <c r="O620" s="4">
        <f t="shared" si="39"/>
        <v>-5.6336152360657588E-3</v>
      </c>
    </row>
    <row r="621" spans="1:15" x14ac:dyDescent="0.25">
      <c r="A621" s="3">
        <v>45100</v>
      </c>
      <c r="B621" s="1">
        <v>279.5</v>
      </c>
      <c r="C621" s="4">
        <f t="shared" si="36"/>
        <v>8.4573308894628774E-3</v>
      </c>
      <c r="E621" s="3">
        <v>45100</v>
      </c>
      <c r="F621" s="1">
        <v>98.09</v>
      </c>
      <c r="G621" s="4">
        <f t="shared" si="37"/>
        <v>1.0299721907508497E-2</v>
      </c>
      <c r="I621" s="3">
        <v>45100</v>
      </c>
      <c r="J621" s="1">
        <v>107.87</v>
      </c>
      <c r="K621" s="4">
        <f t="shared" si="38"/>
        <v>2.3509296858303941E-3</v>
      </c>
      <c r="M621" s="5">
        <v>45100</v>
      </c>
      <c r="N621" s="2">
        <v>18771.25</v>
      </c>
      <c r="O621" s="4">
        <f t="shared" si="39"/>
        <v>-4.5394644386521632E-3</v>
      </c>
    </row>
    <row r="622" spans="1:15" x14ac:dyDescent="0.25">
      <c r="A622" s="3">
        <v>45099</v>
      </c>
      <c r="B622" s="1">
        <v>277.15600000000001</v>
      </c>
      <c r="C622" s="4">
        <f t="shared" si="36"/>
        <v>3.5775325164393301E-3</v>
      </c>
      <c r="E622" s="3">
        <v>45099</v>
      </c>
      <c r="F622" s="1">
        <v>97.09</v>
      </c>
      <c r="G622" s="4">
        <f t="shared" si="37"/>
        <v>7.1576763485476924E-3</v>
      </c>
      <c r="I622" s="3">
        <v>45099</v>
      </c>
      <c r="J622" s="1">
        <v>107.617</v>
      </c>
      <c r="K622" s="4">
        <f t="shared" si="38"/>
        <v>-7.0033955857385921E-3</v>
      </c>
      <c r="M622" s="5">
        <v>45099</v>
      </c>
      <c r="N622" s="2">
        <v>18856.849999999999</v>
      </c>
      <c r="O622" s="4">
        <f t="shared" si="39"/>
        <v>2.1337428985952478E-3</v>
      </c>
    </row>
    <row r="623" spans="1:15" x14ac:dyDescent="0.25">
      <c r="A623" s="3">
        <v>45098</v>
      </c>
      <c r="B623" s="1">
        <v>276.16800000000001</v>
      </c>
      <c r="C623" s="4">
        <f t="shared" si="36"/>
        <v>1.9555271760227644E-3</v>
      </c>
      <c r="E623" s="3">
        <v>45098</v>
      </c>
      <c r="F623" s="1">
        <v>96.4</v>
      </c>
      <c r="G623" s="4">
        <f t="shared" si="37"/>
        <v>5.8430717863104942E-3</v>
      </c>
      <c r="I623" s="3">
        <v>45098</v>
      </c>
      <c r="J623" s="1">
        <v>108.376</v>
      </c>
      <c r="K623" s="4">
        <f t="shared" si="38"/>
        <v>-5.186293498315564E-3</v>
      </c>
      <c r="M623" s="5">
        <v>45098</v>
      </c>
      <c r="N623" s="2">
        <v>18816.7</v>
      </c>
      <c r="O623" s="4">
        <f t="shared" si="39"/>
        <v>3.2657174314665305E-3</v>
      </c>
    </row>
    <row r="624" spans="1:15" x14ac:dyDescent="0.25">
      <c r="A624" s="3">
        <v>45097</v>
      </c>
      <c r="B624" s="1">
        <v>275.62900000000002</v>
      </c>
      <c r="C624" s="4">
        <f t="shared" si="36"/>
        <v>5.8424686528384395E-3</v>
      </c>
      <c r="E624" s="3">
        <v>45097</v>
      </c>
      <c r="F624" s="1">
        <v>95.84</v>
      </c>
      <c r="G624" s="4">
        <f t="shared" si="37"/>
        <v>3.8755630040852029E-3</v>
      </c>
      <c r="I624" s="3">
        <v>45097</v>
      </c>
      <c r="J624" s="1">
        <v>108.941</v>
      </c>
      <c r="K624" s="4">
        <f t="shared" si="38"/>
        <v>3.0568369103849413E-3</v>
      </c>
      <c r="M624" s="5">
        <v>45097</v>
      </c>
      <c r="N624" s="2">
        <v>18755.45</v>
      </c>
      <c r="O624" s="4">
        <f t="shared" si="39"/>
        <v>-3.7474768936576197E-3</v>
      </c>
    </row>
    <row r="625" spans="1:15" x14ac:dyDescent="0.25">
      <c r="A625" s="3">
        <v>45096</v>
      </c>
      <c r="B625" s="1">
        <v>274.02800000000002</v>
      </c>
      <c r="C625" s="4">
        <f t="shared" si="36"/>
        <v>1.0960794224093018E-2</v>
      </c>
      <c r="E625" s="3">
        <v>45096</v>
      </c>
      <c r="F625" s="1">
        <v>95.47</v>
      </c>
      <c r="G625" s="4">
        <f t="shared" si="37"/>
        <v>-8.2069395387492916E-3</v>
      </c>
      <c r="I625" s="3">
        <v>45096</v>
      </c>
      <c r="J625" s="1">
        <v>108.60899999999999</v>
      </c>
      <c r="K625" s="4">
        <f t="shared" si="38"/>
        <v>4.2626770721603258E-3</v>
      </c>
      <c r="M625" s="5">
        <v>45096</v>
      </c>
      <c r="N625" s="2">
        <v>18826</v>
      </c>
      <c r="O625" s="4">
        <f t="shared" si="39"/>
        <v>7.3790272954448177E-3</v>
      </c>
    </row>
    <row r="626" spans="1:15" x14ac:dyDescent="0.25">
      <c r="A626" s="3">
        <v>45093</v>
      </c>
      <c r="B626" s="1">
        <v>271.05700000000002</v>
      </c>
      <c r="C626" s="4">
        <f t="shared" si="36"/>
        <v>4.7930783944485356E-3</v>
      </c>
      <c r="E626" s="3">
        <v>45093</v>
      </c>
      <c r="F626" s="1">
        <v>96.26</v>
      </c>
      <c r="G626" s="4">
        <f t="shared" si="37"/>
        <v>-5.6812312777605456E-3</v>
      </c>
      <c r="I626" s="3">
        <v>45093</v>
      </c>
      <c r="J626" s="1">
        <v>108.148</v>
      </c>
      <c r="K626" s="4">
        <f t="shared" si="38"/>
        <v>-1.3942880359006926E-3</v>
      </c>
      <c r="M626" s="5">
        <v>45093</v>
      </c>
      <c r="N626" s="2">
        <v>18688.099999999999</v>
      </c>
      <c r="O626" s="4">
        <f t="shared" si="39"/>
        <v>-3.6148625232594878E-3</v>
      </c>
    </row>
    <row r="627" spans="1:15" x14ac:dyDescent="0.25">
      <c r="A627" s="3">
        <v>45092</v>
      </c>
      <c r="B627" s="1">
        <v>269.76400000000001</v>
      </c>
      <c r="C627" s="4">
        <f t="shared" si="36"/>
        <v>4.9921020475069966E-3</v>
      </c>
      <c r="E627" s="3">
        <v>45092</v>
      </c>
      <c r="F627" s="1">
        <v>96.81</v>
      </c>
      <c r="G627" s="4">
        <f t="shared" si="37"/>
        <v>1.5518311607698454E-3</v>
      </c>
      <c r="I627" s="3">
        <v>45092</v>
      </c>
      <c r="J627" s="1">
        <v>108.29900000000001</v>
      </c>
      <c r="K627" s="4">
        <f t="shared" si="38"/>
        <v>8.5020393719852372E-3</v>
      </c>
      <c r="M627" s="5">
        <v>45092</v>
      </c>
      <c r="N627" s="2">
        <v>18755.900000000001</v>
      </c>
      <c r="O627" s="4">
        <f t="shared" si="39"/>
        <v>2.123834228727528E-3</v>
      </c>
    </row>
    <row r="628" spans="1:15" x14ac:dyDescent="0.25">
      <c r="A628" s="3">
        <v>45091</v>
      </c>
      <c r="B628" s="1">
        <v>268.42399999999998</v>
      </c>
      <c r="C628" s="4">
        <f t="shared" si="36"/>
        <v>3.9496125190747744E-3</v>
      </c>
      <c r="E628" s="3">
        <v>45091</v>
      </c>
      <c r="F628" s="1">
        <v>96.66</v>
      </c>
      <c r="G628" s="4">
        <f t="shared" si="37"/>
        <v>2.2812111157195503E-3</v>
      </c>
      <c r="I628" s="3">
        <v>45091</v>
      </c>
      <c r="J628" s="1">
        <v>107.386</v>
      </c>
      <c r="K628" s="4">
        <f t="shared" si="38"/>
        <v>-3.1839151946086997E-3</v>
      </c>
      <c r="M628" s="5">
        <v>45091</v>
      </c>
      <c r="N628" s="2">
        <v>18716.150000000001</v>
      </c>
      <c r="O628" s="4">
        <f t="shared" si="39"/>
        <v>6.1634814396689386E-3</v>
      </c>
    </row>
    <row r="629" spans="1:15" x14ac:dyDescent="0.25">
      <c r="A629" s="3">
        <v>45090</v>
      </c>
      <c r="B629" s="1">
        <v>267.36799999999999</v>
      </c>
      <c r="C629" s="4">
        <f t="shared" si="36"/>
        <v>-7.910946196660551E-3</v>
      </c>
      <c r="E629" s="3">
        <v>45090</v>
      </c>
      <c r="F629" s="1">
        <v>96.44</v>
      </c>
      <c r="G629" s="4">
        <f t="shared" si="37"/>
        <v>-2.0695364238411118E-3</v>
      </c>
      <c r="I629" s="3">
        <v>45090</v>
      </c>
      <c r="J629" s="1">
        <v>107.729</v>
      </c>
      <c r="K629" s="4">
        <f t="shared" si="38"/>
        <v>2.2700841977949526E-3</v>
      </c>
      <c r="M629" s="5">
        <v>45090</v>
      </c>
      <c r="N629" s="2">
        <v>18601.5</v>
      </c>
      <c r="O629" s="4">
        <f t="shared" si="39"/>
        <v>2.0524257409741953E-3</v>
      </c>
    </row>
    <row r="630" spans="1:15" x14ac:dyDescent="0.25">
      <c r="A630" s="3">
        <v>45089</v>
      </c>
      <c r="B630" s="1">
        <v>269.5</v>
      </c>
      <c r="C630" s="4">
        <f t="shared" si="36"/>
        <v>-6.9604884501582864E-3</v>
      </c>
      <c r="E630" s="3">
        <v>45089</v>
      </c>
      <c r="F630" s="1">
        <v>96.64</v>
      </c>
      <c r="G630" s="4">
        <f t="shared" si="37"/>
        <v>9.2950391644908148E-3</v>
      </c>
      <c r="I630" s="3">
        <v>45089</v>
      </c>
      <c r="J630" s="1">
        <v>107.485</v>
      </c>
      <c r="K630" s="4">
        <f t="shared" si="38"/>
        <v>6.5363761506549434E-3</v>
      </c>
      <c r="M630" s="5">
        <v>45089</v>
      </c>
      <c r="N630" s="2">
        <v>18563.400000000001</v>
      </c>
      <c r="O630" s="4">
        <f t="shared" si="39"/>
        <v>-3.8181764518058214E-3</v>
      </c>
    </row>
    <row r="631" spans="1:15" x14ac:dyDescent="0.25">
      <c r="A631" s="3">
        <v>45086</v>
      </c>
      <c r="B631" s="1">
        <v>271.38900000000001</v>
      </c>
      <c r="C631" s="4">
        <f t="shared" si="36"/>
        <v>2.2675653217616443E-3</v>
      </c>
      <c r="E631" s="3">
        <v>45086</v>
      </c>
      <c r="F631" s="1">
        <v>95.75</v>
      </c>
      <c r="G631" s="4">
        <f t="shared" si="37"/>
        <v>-1.2516950036508545E-3</v>
      </c>
      <c r="I631" s="3">
        <v>45086</v>
      </c>
      <c r="J631" s="1">
        <v>106.78700000000001</v>
      </c>
      <c r="K631" s="4">
        <f t="shared" si="38"/>
        <v>2.8737521247923503E-3</v>
      </c>
      <c r="M631" s="5">
        <v>45086</v>
      </c>
      <c r="N631" s="2">
        <v>18634.55</v>
      </c>
      <c r="O631" s="4">
        <f t="shared" si="39"/>
        <v>-4.9048402255640333E-3</v>
      </c>
    </row>
    <row r="632" spans="1:15" x14ac:dyDescent="0.25">
      <c r="A632" s="3">
        <v>45085</v>
      </c>
      <c r="B632" s="1">
        <v>270.77499999999998</v>
      </c>
      <c r="C632" s="4">
        <f t="shared" si="36"/>
        <v>5.3726311412107819E-3</v>
      </c>
      <c r="E632" s="3">
        <v>45085</v>
      </c>
      <c r="F632" s="1">
        <v>95.87</v>
      </c>
      <c r="G632" s="4">
        <f t="shared" si="37"/>
        <v>1.8810743024351151E-3</v>
      </c>
      <c r="I632" s="3">
        <v>45085</v>
      </c>
      <c r="J632" s="1">
        <v>106.48099999999999</v>
      </c>
      <c r="K632" s="4">
        <f t="shared" si="38"/>
        <v>-3.3508363050945844E-3</v>
      </c>
      <c r="M632" s="5">
        <v>45085</v>
      </c>
      <c r="N632" s="2">
        <v>18726.400000000001</v>
      </c>
      <c r="O632" s="4">
        <f t="shared" si="39"/>
        <v>6.8498306360558203E-3</v>
      </c>
    </row>
    <row r="633" spans="1:15" x14ac:dyDescent="0.25">
      <c r="A633" s="3">
        <v>45084</v>
      </c>
      <c r="B633" s="1">
        <v>269.32799999999997</v>
      </c>
      <c r="C633" s="4">
        <f t="shared" si="36"/>
        <v>-6.8642328941459496E-4</v>
      </c>
      <c r="E633" s="3">
        <v>45084</v>
      </c>
      <c r="F633" s="1">
        <v>95.69</v>
      </c>
      <c r="G633" s="4">
        <f t="shared" si="37"/>
        <v>5.8866813833702292E-3</v>
      </c>
      <c r="I633" s="3">
        <v>45084</v>
      </c>
      <c r="J633" s="1">
        <v>106.839</v>
      </c>
      <c r="K633" s="4">
        <f t="shared" si="38"/>
        <v>-3.990043536222676E-3</v>
      </c>
      <c r="M633" s="5">
        <v>45084</v>
      </c>
      <c r="N633" s="2">
        <v>18599</v>
      </c>
      <c r="O633" s="4">
        <f t="shared" si="39"/>
        <v>2.7697330031184464E-4</v>
      </c>
    </row>
    <row r="634" spans="1:15" x14ac:dyDescent="0.25">
      <c r="A634" s="3">
        <v>45083</v>
      </c>
      <c r="B634" s="1">
        <v>269.51299999999998</v>
      </c>
      <c r="C634" s="4">
        <f t="shared" si="36"/>
        <v>5.9157684153952061E-3</v>
      </c>
      <c r="E634" s="3">
        <v>45083</v>
      </c>
      <c r="F634" s="1">
        <v>95.13</v>
      </c>
      <c r="G634" s="4">
        <f t="shared" si="37"/>
        <v>4.2225271825186983E-3</v>
      </c>
      <c r="I634" s="3">
        <v>45083</v>
      </c>
      <c r="J634" s="1">
        <v>107.267</v>
      </c>
      <c r="K634" s="4">
        <f t="shared" si="38"/>
        <v>6.8709813676257614E-3</v>
      </c>
      <c r="M634" s="5">
        <v>45083</v>
      </c>
      <c r="N634" s="2">
        <v>18593.849999999999</v>
      </c>
      <c r="O634" s="4">
        <f t="shared" si="39"/>
        <v>3.223787505193032E-3</v>
      </c>
    </row>
    <row r="635" spans="1:15" x14ac:dyDescent="0.25">
      <c r="A635" s="3">
        <v>45082</v>
      </c>
      <c r="B635" s="1">
        <v>267.928</v>
      </c>
      <c r="C635" s="4">
        <f t="shared" si="36"/>
        <v>-2.7209213166132784E-3</v>
      </c>
      <c r="E635" s="3">
        <v>45082</v>
      </c>
      <c r="F635" s="1">
        <v>94.73</v>
      </c>
      <c r="G635" s="4">
        <f t="shared" si="37"/>
        <v>-2.3170089520799797E-3</v>
      </c>
      <c r="I635" s="3">
        <v>45082</v>
      </c>
      <c r="J635" s="1">
        <v>106.535</v>
      </c>
      <c r="K635" s="4">
        <f t="shared" si="38"/>
        <v>1.4099732105088414E-3</v>
      </c>
      <c r="M635" s="5">
        <v>45082</v>
      </c>
      <c r="N635" s="2">
        <v>18534.099999999999</v>
      </c>
      <c r="O635" s="4">
        <f t="shared" si="39"/>
        <v>2.507065489310456E-3</v>
      </c>
    </row>
    <row r="636" spans="1:15" x14ac:dyDescent="0.25">
      <c r="A636" s="3">
        <v>45079</v>
      </c>
      <c r="B636" s="1">
        <v>268.65899999999999</v>
      </c>
      <c r="C636" s="4">
        <f t="shared" si="36"/>
        <v>4.2275948685743803E-3</v>
      </c>
      <c r="E636" s="3">
        <v>45079</v>
      </c>
      <c r="F636" s="1">
        <v>94.95</v>
      </c>
      <c r="G636" s="4">
        <f t="shared" si="37"/>
        <v>-5.1341156747694017E-3</v>
      </c>
      <c r="I636" s="3">
        <v>45079</v>
      </c>
      <c r="J636" s="1">
        <v>106.38500000000001</v>
      </c>
      <c r="K636" s="4">
        <f t="shared" si="38"/>
        <v>2.6483450199803471E-3</v>
      </c>
      <c r="M636" s="5">
        <v>45079</v>
      </c>
      <c r="N636" s="2">
        <v>18487.75</v>
      </c>
      <c r="O636" s="4">
        <f t="shared" si="39"/>
        <v>-2.5169414709945714E-3</v>
      </c>
    </row>
    <row r="637" spans="1:15" x14ac:dyDescent="0.25">
      <c r="A637" s="3">
        <v>45078</v>
      </c>
      <c r="B637" s="1">
        <v>267.52800000000002</v>
      </c>
      <c r="C637" s="4">
        <f t="shared" si="36"/>
        <v>6.065848109358285E-3</v>
      </c>
      <c r="E637" s="3">
        <v>45078</v>
      </c>
      <c r="F637" s="1">
        <v>95.44</v>
      </c>
      <c r="G637" s="4">
        <f t="shared" si="37"/>
        <v>8.2400169025986791E-3</v>
      </c>
      <c r="I637" s="3">
        <v>45078</v>
      </c>
      <c r="J637" s="1">
        <v>106.104</v>
      </c>
      <c r="K637" s="4">
        <f t="shared" si="38"/>
        <v>5.8776686511698983E-3</v>
      </c>
      <c r="M637" s="5">
        <v>45078</v>
      </c>
      <c r="N637" s="2">
        <v>18534.400000000001</v>
      </c>
      <c r="O637" s="4">
        <f t="shared" si="39"/>
        <v>-5.3370613158310043E-3</v>
      </c>
    </row>
    <row r="638" spans="1:15" x14ac:dyDescent="0.25">
      <c r="A638" s="3">
        <v>45077</v>
      </c>
      <c r="B638" s="1">
        <v>265.91500000000002</v>
      </c>
      <c r="C638" s="4">
        <f t="shared" si="36"/>
        <v>4.4648759315990549E-3</v>
      </c>
      <c r="E638" s="3">
        <v>45077</v>
      </c>
      <c r="F638" s="1">
        <v>94.66</v>
      </c>
      <c r="G638" s="4">
        <f t="shared" si="37"/>
        <v>-3.1682331819626874E-4</v>
      </c>
      <c r="I638" s="3">
        <v>45077</v>
      </c>
      <c r="J638" s="1">
        <v>105.48399999999999</v>
      </c>
      <c r="K638" s="4">
        <f t="shared" si="38"/>
        <v>-5.1166404517810626E-4</v>
      </c>
      <c r="M638" s="5">
        <v>45077</v>
      </c>
      <c r="N638" s="2">
        <v>18633.849999999999</v>
      </c>
      <c r="O638" s="4">
        <f t="shared" si="39"/>
        <v>1.8926104851695325E-3</v>
      </c>
    </row>
    <row r="639" spans="1:15" x14ac:dyDescent="0.25">
      <c r="A639" s="3">
        <v>45076</v>
      </c>
      <c r="B639" s="1">
        <v>264.733</v>
      </c>
      <c r="C639" s="4">
        <f t="shared" si="36"/>
        <v>-5.2855519437611242E-4</v>
      </c>
      <c r="E639" s="3">
        <v>45076</v>
      </c>
      <c r="F639" s="1">
        <v>94.69</v>
      </c>
      <c r="G639" s="4">
        <f t="shared" si="37"/>
        <v>3.4972445951675368E-3</v>
      </c>
      <c r="I639" s="3">
        <v>45076</v>
      </c>
      <c r="J639" s="1">
        <v>105.538</v>
      </c>
      <c r="K639" s="4">
        <f t="shared" si="38"/>
        <v>-1.4948531637904994E-3</v>
      </c>
      <c r="M639" s="5">
        <v>45076</v>
      </c>
      <c r="N639" s="2">
        <v>18598.650000000001</v>
      </c>
      <c r="O639" s="4">
        <f t="shared" si="39"/>
        <v>5.3677561644058791E-3</v>
      </c>
    </row>
    <row r="640" spans="1:15" x14ac:dyDescent="0.25">
      <c r="A640" s="3">
        <v>45075</v>
      </c>
      <c r="B640" s="1">
        <v>264.87299999999999</v>
      </c>
      <c r="C640" s="4">
        <f t="shared" si="36"/>
        <v>-4.8653482011361548E-3</v>
      </c>
      <c r="E640" s="3">
        <v>45075</v>
      </c>
      <c r="F640" s="1">
        <v>94.36</v>
      </c>
      <c r="G640" s="4">
        <f t="shared" si="37"/>
        <v>3.829787234042481E-3</v>
      </c>
      <c r="I640" s="3">
        <v>45075</v>
      </c>
      <c r="J640" s="1">
        <v>105.696</v>
      </c>
      <c r="K640" s="4">
        <f t="shared" si="38"/>
        <v>2.8273781286172195E-3</v>
      </c>
      <c r="M640" s="5">
        <v>45075</v>
      </c>
      <c r="N640" s="2">
        <v>18499.349999999999</v>
      </c>
      <c r="O640" s="4">
        <f t="shared" si="39"/>
        <v>9.7264636772254054E-3</v>
      </c>
    </row>
    <row r="641" spans="1:15" x14ac:dyDescent="0.25">
      <c r="A641" s="3">
        <v>45072</v>
      </c>
      <c r="B641" s="1">
        <v>266.16800000000001</v>
      </c>
      <c r="C641" s="4">
        <f t="shared" si="36"/>
        <v>9.9412630716226857E-3</v>
      </c>
      <c r="E641" s="3">
        <v>45072</v>
      </c>
      <c r="F641" s="1">
        <v>94</v>
      </c>
      <c r="G641" s="4">
        <f t="shared" si="37"/>
        <v>8.5178875638836082E-4</v>
      </c>
      <c r="I641" s="3">
        <v>45072</v>
      </c>
      <c r="J641" s="1">
        <v>105.398</v>
      </c>
      <c r="K641" s="4">
        <f t="shared" si="38"/>
        <v>4.5654266624728379E-3</v>
      </c>
      <c r="M641" s="5">
        <v>45072</v>
      </c>
      <c r="N641" s="2">
        <v>18321.150000000001</v>
      </c>
      <c r="O641" s="4">
        <f t="shared" si="39"/>
        <v>1.955111728482839E-3</v>
      </c>
    </row>
    <row r="642" spans="1:15" x14ac:dyDescent="0.25">
      <c r="A642" s="3">
        <v>45071</v>
      </c>
      <c r="B642" s="1">
        <v>263.548</v>
      </c>
      <c r="C642" s="4">
        <f t="shared" si="36"/>
        <v>1.5961813261986535E-3</v>
      </c>
      <c r="E642" s="3">
        <v>45071</v>
      </c>
      <c r="F642" s="1">
        <v>93.92</v>
      </c>
      <c r="G642" s="4">
        <f t="shared" si="37"/>
        <v>-8.5106382978716866E-4</v>
      </c>
      <c r="I642" s="3">
        <v>45071</v>
      </c>
      <c r="J642" s="1">
        <v>104.919</v>
      </c>
      <c r="K642" s="4">
        <f t="shared" si="38"/>
        <v>9.0791055542198684E-3</v>
      </c>
      <c r="M642" s="5">
        <v>45071</v>
      </c>
      <c r="N642" s="2">
        <v>18285.400000000001</v>
      </c>
      <c r="O642" s="4">
        <f t="shared" si="39"/>
        <v>-3.4118160017440058E-3</v>
      </c>
    </row>
    <row r="643" spans="1:15" x14ac:dyDescent="0.25">
      <c r="A643" s="3">
        <v>45070</v>
      </c>
      <c r="B643" s="1">
        <v>263.12799999999999</v>
      </c>
      <c r="C643" s="4">
        <f t="shared" ref="C643:C706" si="40">(B643/B644)-1</f>
        <v>4.7348484848486194E-3</v>
      </c>
      <c r="E643" s="3">
        <v>45070</v>
      </c>
      <c r="F643" s="1">
        <v>94</v>
      </c>
      <c r="G643" s="4">
        <f t="shared" ref="G643:G706" si="41">(F643/F644)-1</f>
        <v>2.8806145311000009E-3</v>
      </c>
      <c r="I643" s="3">
        <v>45070</v>
      </c>
      <c r="J643" s="1">
        <v>103.97499999999999</v>
      </c>
      <c r="K643" s="4">
        <f t="shared" ref="K643:K706" si="42">(J643/J644)-1</f>
        <v>3.5325116543929447E-3</v>
      </c>
      <c r="M643" s="5">
        <v>45070</v>
      </c>
      <c r="N643" s="2">
        <v>18348</v>
      </c>
      <c r="O643" s="4">
        <f t="shared" ref="O643:O706" si="43">(N643/N644)-1</f>
        <v>1.834621936836589E-3</v>
      </c>
    </row>
    <row r="644" spans="1:15" x14ac:dyDescent="0.25">
      <c r="A644" s="3">
        <v>45069</v>
      </c>
      <c r="B644" s="1">
        <v>261.88799999999998</v>
      </c>
      <c r="C644" s="4">
        <f t="shared" si="40"/>
        <v>2.6647064228613182E-3</v>
      </c>
      <c r="E644" s="3">
        <v>45069</v>
      </c>
      <c r="F644" s="1">
        <v>93.73</v>
      </c>
      <c r="G644" s="4">
        <f t="shared" si="41"/>
        <v>3.2109600770631186E-3</v>
      </c>
      <c r="I644" s="3">
        <v>45069</v>
      </c>
      <c r="J644" s="1">
        <v>103.60899999999999</v>
      </c>
      <c r="K644" s="4">
        <f t="shared" si="42"/>
        <v>-2.3398682740823906E-3</v>
      </c>
      <c r="M644" s="5">
        <v>45069</v>
      </c>
      <c r="N644" s="2">
        <v>18314.400000000001</v>
      </c>
      <c r="O644" s="4">
        <f t="shared" si="43"/>
        <v>6.0977619565576457E-3</v>
      </c>
    </row>
    <row r="645" spans="1:15" x14ac:dyDescent="0.25">
      <c r="A645" s="3">
        <v>45068</v>
      </c>
      <c r="B645" s="1">
        <v>261.19200000000001</v>
      </c>
      <c r="C645" s="4">
        <f t="shared" si="40"/>
        <v>2.9490369551194995E-3</v>
      </c>
      <c r="E645" s="3">
        <v>45068</v>
      </c>
      <c r="F645" s="1">
        <v>93.43</v>
      </c>
      <c r="G645" s="4">
        <f t="shared" si="41"/>
        <v>8.9632829373651468E-3</v>
      </c>
      <c r="I645" s="3">
        <v>45068</v>
      </c>
      <c r="J645" s="1">
        <v>103.852</v>
      </c>
      <c r="K645" s="4">
        <f t="shared" si="42"/>
        <v>2.8389887792348301E-3</v>
      </c>
      <c r="M645" s="5">
        <v>45068</v>
      </c>
      <c r="N645" s="2">
        <v>18203.400000000001</v>
      </c>
      <c r="O645" s="4">
        <f t="shared" si="43"/>
        <v>4.0513073670915833E-3</v>
      </c>
    </row>
    <row r="646" spans="1:15" x14ac:dyDescent="0.25">
      <c r="A646" s="3">
        <v>45065</v>
      </c>
      <c r="B646" s="1">
        <v>260.42399999999998</v>
      </c>
      <c r="C646" s="4">
        <f t="shared" si="40"/>
        <v>-3.8594974620649314E-3</v>
      </c>
      <c r="E646" s="3">
        <v>45065</v>
      </c>
      <c r="F646" s="1">
        <v>92.6</v>
      </c>
      <c r="G646" s="4">
        <f t="shared" si="41"/>
        <v>3.5764603879917534E-3</v>
      </c>
      <c r="I646" s="3">
        <v>45065</v>
      </c>
      <c r="J646" s="1">
        <v>103.55800000000001</v>
      </c>
      <c r="K646" s="4">
        <f t="shared" si="42"/>
        <v>4.9003910609104473E-3</v>
      </c>
      <c r="M646" s="5">
        <v>45065</v>
      </c>
      <c r="N646" s="2">
        <v>18129.95</v>
      </c>
      <c r="O646" s="4">
        <f t="shared" si="43"/>
        <v>-2.8490106837900653E-3</v>
      </c>
    </row>
    <row r="647" spans="1:15" x14ac:dyDescent="0.25">
      <c r="A647" s="3">
        <v>45064</v>
      </c>
      <c r="B647" s="1">
        <v>261.43299999999999</v>
      </c>
      <c r="C647" s="4">
        <f t="shared" si="40"/>
        <v>4.8004489130768491E-3</v>
      </c>
      <c r="E647" s="3">
        <v>45064</v>
      </c>
      <c r="F647" s="1">
        <v>92.27</v>
      </c>
      <c r="G647" s="4">
        <f t="shared" si="41"/>
        <v>-1.5149875554594239E-3</v>
      </c>
      <c r="I647" s="3">
        <v>45064</v>
      </c>
      <c r="J647" s="1">
        <v>103.053</v>
      </c>
      <c r="K647" s="4">
        <f t="shared" si="42"/>
        <v>2.9293833696668603E-3</v>
      </c>
      <c r="M647" s="5">
        <v>45064</v>
      </c>
      <c r="N647" s="2">
        <v>18181.75</v>
      </c>
      <c r="O647" s="4">
        <f t="shared" si="43"/>
        <v>-5.7282694884204233E-3</v>
      </c>
    </row>
    <row r="648" spans="1:15" x14ac:dyDescent="0.25">
      <c r="A648" s="3">
        <v>45063</v>
      </c>
      <c r="B648" s="1">
        <v>260.18400000000003</v>
      </c>
      <c r="C648" s="4">
        <f t="shared" si="40"/>
        <v>3.4478768945969129E-3</v>
      </c>
      <c r="E648" s="3">
        <v>45063</v>
      </c>
      <c r="F648" s="1">
        <v>92.41</v>
      </c>
      <c r="G648" s="4">
        <f t="shared" si="41"/>
        <v>1.191765980498305E-3</v>
      </c>
      <c r="I648" s="3">
        <v>45063</v>
      </c>
      <c r="J648" s="1">
        <v>102.752</v>
      </c>
      <c r="K648" s="4">
        <f t="shared" si="42"/>
        <v>-5.6418444863792772E-3</v>
      </c>
      <c r="M648" s="5">
        <v>45063</v>
      </c>
      <c r="N648" s="2">
        <v>18286.5</v>
      </c>
      <c r="O648" s="4">
        <f t="shared" si="43"/>
        <v>-6.1063599083637232E-3</v>
      </c>
    </row>
    <row r="649" spans="1:15" x14ac:dyDescent="0.25">
      <c r="A649" s="3">
        <v>45062</v>
      </c>
      <c r="B649" s="1">
        <v>259.29000000000002</v>
      </c>
      <c r="C649" s="4">
        <f t="shared" si="40"/>
        <v>4.5755862833145589E-3</v>
      </c>
      <c r="E649" s="3">
        <v>45062</v>
      </c>
      <c r="F649" s="1">
        <v>92.3</v>
      </c>
      <c r="G649" s="4">
        <f t="shared" si="41"/>
        <v>7.202095154954069E-3</v>
      </c>
      <c r="I649" s="3">
        <v>45062</v>
      </c>
      <c r="J649" s="1">
        <v>103.33499999999999</v>
      </c>
      <c r="K649" s="4">
        <f t="shared" si="42"/>
        <v>-2.4231073697218442E-3</v>
      </c>
      <c r="M649" s="5">
        <v>45062</v>
      </c>
      <c r="N649" s="2">
        <v>18398.849999999999</v>
      </c>
      <c r="O649" s="4">
        <f t="shared" si="43"/>
        <v>4.5891847030816724E-3</v>
      </c>
    </row>
    <row r="650" spans="1:15" x14ac:dyDescent="0.25">
      <c r="A650" s="3">
        <v>45061</v>
      </c>
      <c r="B650" s="1">
        <v>258.10899999999998</v>
      </c>
      <c r="C650" s="4">
        <f t="shared" si="40"/>
        <v>2.4468014867231602E-3</v>
      </c>
      <c r="E650" s="3">
        <v>45061</v>
      </c>
      <c r="F650" s="1">
        <v>91.64</v>
      </c>
      <c r="G650" s="4">
        <f t="shared" si="41"/>
        <v>4.8245614035087314E-3</v>
      </c>
      <c r="I650" s="3">
        <v>45061</v>
      </c>
      <c r="J650" s="1">
        <v>103.586</v>
      </c>
      <c r="K650" s="4">
        <f t="shared" si="42"/>
        <v>-2.1001117490655474E-3</v>
      </c>
      <c r="M650" s="5">
        <v>45061</v>
      </c>
      <c r="N650" s="2">
        <v>18314.8</v>
      </c>
      <c r="O650" s="4">
        <f t="shared" si="43"/>
        <v>9.7283707711648404E-4</v>
      </c>
    </row>
    <row r="651" spans="1:15" x14ac:dyDescent="0.25">
      <c r="A651" s="3">
        <v>45058</v>
      </c>
      <c r="B651" s="1">
        <v>257.47899999999998</v>
      </c>
      <c r="C651" s="4">
        <f t="shared" si="40"/>
        <v>-1.6749964134915585E-3</v>
      </c>
      <c r="E651" s="3">
        <v>45058</v>
      </c>
      <c r="F651" s="1">
        <v>91.2</v>
      </c>
      <c r="G651" s="4">
        <f t="shared" si="41"/>
        <v>-3.3876079117036717E-3</v>
      </c>
      <c r="I651" s="3">
        <v>45058</v>
      </c>
      <c r="J651" s="1">
        <v>103.804</v>
      </c>
      <c r="K651" s="4">
        <f t="shared" si="42"/>
        <v>7.8547502305936767E-3</v>
      </c>
      <c r="M651" s="5">
        <v>45058</v>
      </c>
      <c r="N651" s="2">
        <v>18297</v>
      </c>
      <c r="O651" s="4">
        <f t="shared" si="43"/>
        <v>-9.8825559238002736E-4</v>
      </c>
    </row>
    <row r="652" spans="1:15" x14ac:dyDescent="0.25">
      <c r="A652" s="3">
        <v>45057</v>
      </c>
      <c r="B652" s="1">
        <v>257.911</v>
      </c>
      <c r="C652" s="4">
        <f t="shared" si="40"/>
        <v>3.82206757508885E-3</v>
      </c>
      <c r="E652" s="3">
        <v>45057</v>
      </c>
      <c r="F652" s="1">
        <v>91.51</v>
      </c>
      <c r="G652" s="4">
        <f t="shared" si="41"/>
        <v>-3.3761707688955145E-3</v>
      </c>
      <c r="I652" s="3">
        <v>45057</v>
      </c>
      <c r="J652" s="1">
        <v>102.995</v>
      </c>
      <c r="K652" s="4">
        <f t="shared" si="42"/>
        <v>-1.4542634155799705E-3</v>
      </c>
      <c r="M652" s="5">
        <v>45057</v>
      </c>
      <c r="N652" s="2">
        <v>18315.099999999999</v>
      </c>
      <c r="O652" s="4">
        <f t="shared" si="43"/>
        <v>2.6907990003255389E-3</v>
      </c>
    </row>
    <row r="653" spans="1:15" x14ac:dyDescent="0.25">
      <c r="A653" s="3">
        <v>45056</v>
      </c>
      <c r="B653" s="1">
        <v>256.92899999999997</v>
      </c>
      <c r="C653" s="4">
        <f t="shared" si="40"/>
        <v>4.4685792029273141E-3</v>
      </c>
      <c r="E653" s="3">
        <v>45056</v>
      </c>
      <c r="F653" s="1">
        <v>91.82</v>
      </c>
      <c r="G653" s="4">
        <f t="shared" si="41"/>
        <v>-6.5302568567704444E-4</v>
      </c>
      <c r="I653" s="3">
        <v>45056</v>
      </c>
      <c r="J653" s="1">
        <v>103.145</v>
      </c>
      <c r="K653" s="4">
        <f t="shared" si="42"/>
        <v>1.9393939393941295E-4</v>
      </c>
      <c r="M653" s="5">
        <v>45056</v>
      </c>
      <c r="N653" s="2">
        <v>18265.95</v>
      </c>
      <c r="O653" s="4">
        <f t="shared" si="43"/>
        <v>8.4864545235596722E-5</v>
      </c>
    </row>
    <row r="654" spans="1:15" x14ac:dyDescent="0.25">
      <c r="A654" s="3">
        <v>45055</v>
      </c>
      <c r="B654" s="1">
        <v>255.786</v>
      </c>
      <c r="C654" s="4">
        <f t="shared" si="40"/>
        <v>2.1430894181531102E-3</v>
      </c>
      <c r="E654" s="3">
        <v>45055</v>
      </c>
      <c r="F654" s="1">
        <v>91.88</v>
      </c>
      <c r="G654" s="4">
        <f t="shared" si="41"/>
        <v>6.1322820849758486E-3</v>
      </c>
      <c r="I654" s="3">
        <v>45055</v>
      </c>
      <c r="J654" s="1">
        <v>103.125</v>
      </c>
      <c r="K654" s="4">
        <f t="shared" si="42"/>
        <v>1.8555579303243253E-3</v>
      </c>
      <c r="M654" s="5">
        <v>45055</v>
      </c>
      <c r="N654" s="2">
        <v>18264.400000000001</v>
      </c>
      <c r="O654" s="4">
        <f t="shared" si="43"/>
        <v>1.0814101499806439E-2</v>
      </c>
    </row>
    <row r="655" spans="1:15" x14ac:dyDescent="0.25">
      <c r="A655" s="3">
        <v>45054</v>
      </c>
      <c r="B655" s="1">
        <v>255.239</v>
      </c>
      <c r="C655" s="4">
        <f t="shared" si="40"/>
        <v>-4.485371837325336E-3</v>
      </c>
      <c r="E655" s="3">
        <v>45054</v>
      </c>
      <c r="F655" s="1">
        <v>91.32</v>
      </c>
      <c r="G655" s="4">
        <f t="shared" si="41"/>
        <v>-2.1896211955341194E-4</v>
      </c>
      <c r="I655" s="3">
        <v>45054</v>
      </c>
      <c r="J655" s="1">
        <v>102.934</v>
      </c>
      <c r="K655" s="4">
        <f t="shared" si="42"/>
        <v>-1.8134036714151369E-3</v>
      </c>
      <c r="M655" s="5">
        <v>45054</v>
      </c>
      <c r="N655" s="2">
        <v>18069</v>
      </c>
      <c r="O655" s="4">
        <f t="shared" si="43"/>
        <v>-1.0232364508813596E-2</v>
      </c>
    </row>
    <row r="656" spans="1:15" x14ac:dyDescent="0.25">
      <c r="A656" s="3">
        <v>45051</v>
      </c>
      <c r="B656" s="1">
        <v>256.38900000000001</v>
      </c>
      <c r="C656" s="4">
        <f t="shared" si="40"/>
        <v>-1.678218207304627E-3</v>
      </c>
      <c r="E656" s="3">
        <v>45051</v>
      </c>
      <c r="F656" s="1">
        <v>91.34</v>
      </c>
      <c r="G656" s="4">
        <f t="shared" si="41"/>
        <v>1.644917205833929E-3</v>
      </c>
      <c r="I656" s="3">
        <v>45051</v>
      </c>
      <c r="J656" s="1">
        <v>103.121</v>
      </c>
      <c r="K656" s="4">
        <f t="shared" si="42"/>
        <v>1.0069250585250655E-2</v>
      </c>
      <c r="M656" s="5">
        <v>45051</v>
      </c>
      <c r="N656" s="2">
        <v>18255.8</v>
      </c>
      <c r="O656" s="4">
        <f t="shared" si="43"/>
        <v>9.1736526284076358E-3</v>
      </c>
    </row>
    <row r="657" spans="1:15" x14ac:dyDescent="0.25">
      <c r="A657" s="3">
        <v>45050</v>
      </c>
      <c r="B657" s="1">
        <v>256.82</v>
      </c>
      <c r="C657" s="4">
        <f t="shared" si="40"/>
        <v>-2.1411192214115804E-4</v>
      </c>
      <c r="E657" s="3">
        <v>45050</v>
      </c>
      <c r="F657" s="1">
        <v>91.19</v>
      </c>
      <c r="G657" s="4">
        <f t="shared" si="41"/>
        <v>1.8677213799165315E-3</v>
      </c>
      <c r="I657" s="3">
        <v>45050</v>
      </c>
      <c r="J657" s="1">
        <v>102.093</v>
      </c>
      <c r="K657" s="4">
        <f t="shared" si="42"/>
        <v>-8.1895546747493553E-3</v>
      </c>
      <c r="M657" s="5">
        <v>45050</v>
      </c>
      <c r="N657" s="2">
        <v>18089.849999999999</v>
      </c>
      <c r="O657" s="4">
        <f t="shared" si="43"/>
        <v>-3.1849853837826458E-3</v>
      </c>
    </row>
    <row r="658" spans="1:15" x14ac:dyDescent="0.25">
      <c r="A658" s="3">
        <v>45049</v>
      </c>
      <c r="B658" s="1">
        <v>256.875</v>
      </c>
      <c r="C658" s="4">
        <f t="shared" si="40"/>
        <v>6.3781356881764673E-3</v>
      </c>
      <c r="E658" s="3">
        <v>45049</v>
      </c>
      <c r="F658" s="1">
        <v>91.02</v>
      </c>
      <c r="G658" s="4">
        <f t="shared" si="41"/>
        <v>-6.5876152832677892E-4</v>
      </c>
      <c r="I658" s="3">
        <v>45049</v>
      </c>
      <c r="J658" s="1">
        <v>102.93600000000001</v>
      </c>
      <c r="K658" s="4">
        <f t="shared" si="42"/>
        <v>6.4629674896112821E-3</v>
      </c>
      <c r="M658" s="5">
        <v>45049</v>
      </c>
      <c r="N658" s="2">
        <v>18147.650000000001</v>
      </c>
      <c r="O658" s="4">
        <f t="shared" si="43"/>
        <v>4.5751453086078087E-3</v>
      </c>
    </row>
    <row r="659" spans="1:15" x14ac:dyDescent="0.25">
      <c r="A659" s="3">
        <v>45048</v>
      </c>
      <c r="B659" s="1">
        <v>255.24700000000001</v>
      </c>
      <c r="C659" s="4">
        <f t="shared" si="40"/>
        <v>-2.5634713153029898E-3</v>
      </c>
      <c r="E659" s="3">
        <v>45048</v>
      </c>
      <c r="F659" s="1">
        <v>91.08</v>
      </c>
      <c r="G659" s="4">
        <f t="shared" si="41"/>
        <v>1.0204081632653184E-2</v>
      </c>
      <c r="I659" s="3">
        <v>45048</v>
      </c>
      <c r="J659" s="1">
        <v>102.27500000000001</v>
      </c>
      <c r="K659" s="4">
        <f t="shared" si="42"/>
        <v>-1.7178944080583625E-3</v>
      </c>
      <c r="M659" s="5">
        <v>45048</v>
      </c>
      <c r="N659" s="2">
        <v>18065</v>
      </c>
      <c r="O659" s="4">
        <f t="shared" si="43"/>
        <v>8.3700575772884811E-3</v>
      </c>
    </row>
    <row r="660" spans="1:15" x14ac:dyDescent="0.25">
      <c r="A660" s="3">
        <v>45044</v>
      </c>
      <c r="B660" s="1">
        <v>255.90299999999999</v>
      </c>
      <c r="C660" s="4">
        <f t="shared" si="40"/>
        <v>1.4322779088742355E-3</v>
      </c>
      <c r="E660" s="3">
        <v>45044</v>
      </c>
      <c r="F660" s="1">
        <v>90.16</v>
      </c>
      <c r="G660" s="4">
        <f t="shared" si="41"/>
        <v>-7.9225352112676228E-3</v>
      </c>
      <c r="I660" s="3">
        <v>45044</v>
      </c>
      <c r="J660" s="1">
        <v>102.45099999999999</v>
      </c>
      <c r="K660" s="4">
        <f t="shared" si="42"/>
        <v>5.1014902237787041E-3</v>
      </c>
      <c r="M660" s="5">
        <v>45044</v>
      </c>
      <c r="N660" s="2">
        <v>17915.05</v>
      </c>
      <c r="O660" s="4">
        <f t="shared" si="43"/>
        <v>5.6950868998968396E-3</v>
      </c>
    </row>
    <row r="661" spans="1:15" x14ac:dyDescent="0.25">
      <c r="A661" s="3">
        <v>45043</v>
      </c>
      <c r="B661" s="1">
        <v>255.53700000000001</v>
      </c>
      <c r="C661" s="4">
        <f t="shared" si="40"/>
        <v>2.5344166722247596E-3</v>
      </c>
      <c r="E661" s="3">
        <v>45043</v>
      </c>
      <c r="F661" s="1">
        <v>90.88</v>
      </c>
      <c r="G661" s="4">
        <f t="shared" si="41"/>
        <v>8.6570477247502886E-3</v>
      </c>
      <c r="I661" s="3">
        <v>45043</v>
      </c>
      <c r="J661" s="1">
        <v>101.931</v>
      </c>
      <c r="K661" s="4">
        <f t="shared" si="42"/>
        <v>8.7084739389020616E-3</v>
      </c>
      <c r="M661" s="5">
        <v>45043</v>
      </c>
      <c r="N661" s="2">
        <v>17813.599999999999</v>
      </c>
      <c r="O661" s="4">
        <f t="shared" si="43"/>
        <v>2.4958847447134058E-3</v>
      </c>
    </row>
    <row r="662" spans="1:15" x14ac:dyDescent="0.25">
      <c r="A662" s="3">
        <v>45042</v>
      </c>
      <c r="B662" s="1">
        <v>254.89099999999999</v>
      </c>
      <c r="C662" s="4">
        <f t="shared" si="40"/>
        <v>-8.5845321625976911E-4</v>
      </c>
      <c r="E662" s="3">
        <v>45042</v>
      </c>
      <c r="F662" s="1">
        <v>90.1</v>
      </c>
      <c r="G662" s="4">
        <f t="shared" si="41"/>
        <v>-7.7631141177780805E-4</v>
      </c>
      <c r="I662" s="3">
        <v>45042</v>
      </c>
      <c r="J662" s="1">
        <v>101.051</v>
      </c>
      <c r="K662" s="4">
        <f t="shared" si="42"/>
        <v>3.6650046681632187E-3</v>
      </c>
      <c r="M662" s="5">
        <v>45042</v>
      </c>
      <c r="N662" s="2">
        <v>17769.25</v>
      </c>
      <c r="O662" s="4">
        <f t="shared" si="43"/>
        <v>1.4568797411995682E-3</v>
      </c>
    </row>
    <row r="663" spans="1:15" x14ac:dyDescent="0.25">
      <c r="A663" s="3">
        <v>45041</v>
      </c>
      <c r="B663" s="1">
        <v>255.11</v>
      </c>
      <c r="C663" s="4">
        <f t="shared" si="40"/>
        <v>9.5409954135157182E-3</v>
      </c>
      <c r="E663" s="3">
        <v>45041</v>
      </c>
      <c r="F663" s="1">
        <v>90.17</v>
      </c>
      <c r="G663" s="4">
        <f t="shared" si="41"/>
        <v>5.0156041016495845E-3</v>
      </c>
      <c r="I663" s="3">
        <v>45041</v>
      </c>
      <c r="J663" s="1">
        <v>100.682</v>
      </c>
      <c r="K663" s="4">
        <f t="shared" si="42"/>
        <v>3.7085036387198844E-3</v>
      </c>
      <c r="M663" s="5">
        <v>45041</v>
      </c>
      <c r="N663" s="2">
        <v>17743.400000000001</v>
      </c>
      <c r="O663" s="4">
        <f t="shared" si="43"/>
        <v>6.7719962210730511E-3</v>
      </c>
    </row>
    <row r="664" spans="1:15" x14ac:dyDescent="0.25">
      <c r="A664" s="3">
        <v>45040</v>
      </c>
      <c r="B664" s="1">
        <v>252.69900000000001</v>
      </c>
      <c r="C664" s="4">
        <f t="shared" si="40"/>
        <v>-6.5613599194866978E-3</v>
      </c>
      <c r="E664" s="3">
        <v>45040</v>
      </c>
      <c r="F664" s="1">
        <v>89.72</v>
      </c>
      <c r="G664" s="4">
        <f t="shared" si="41"/>
        <v>8.2031688953816406E-3</v>
      </c>
      <c r="I664" s="3">
        <v>45040</v>
      </c>
      <c r="J664" s="1">
        <v>100.31</v>
      </c>
      <c r="K664" s="4">
        <f t="shared" si="42"/>
        <v>1.8777091947823621E-3</v>
      </c>
      <c r="M664" s="5">
        <v>45040</v>
      </c>
      <c r="N664" s="2">
        <v>17624.05</v>
      </c>
      <c r="O664" s="4">
        <f t="shared" si="43"/>
        <v>-2.2695743697065396E-5</v>
      </c>
    </row>
    <row r="665" spans="1:15" x14ac:dyDescent="0.25">
      <c r="A665" s="3">
        <v>45037</v>
      </c>
      <c r="B665" s="1">
        <v>254.36799999999999</v>
      </c>
      <c r="C665" s="4">
        <f t="shared" si="40"/>
        <v>7.0629968644093655E-3</v>
      </c>
      <c r="E665" s="3">
        <v>45037</v>
      </c>
      <c r="F665" s="1">
        <v>88.99</v>
      </c>
      <c r="G665" s="4">
        <f t="shared" si="41"/>
        <v>7.1299230421004722E-3</v>
      </c>
      <c r="I665" s="3">
        <v>45037</v>
      </c>
      <c r="J665" s="1">
        <v>100.122</v>
      </c>
      <c r="K665" s="4">
        <f t="shared" si="42"/>
        <v>5.523641184268735E-3</v>
      </c>
      <c r="M665" s="5">
        <v>45037</v>
      </c>
      <c r="N665" s="2">
        <v>17624.45</v>
      </c>
      <c r="O665" s="4">
        <f t="shared" si="43"/>
        <v>3.2351897836124799E-4</v>
      </c>
    </row>
    <row r="666" spans="1:15" x14ac:dyDescent="0.25">
      <c r="A666" s="3">
        <v>45036</v>
      </c>
      <c r="B666" s="1">
        <v>252.584</v>
      </c>
      <c r="C666" s="4">
        <f t="shared" si="40"/>
        <v>-2.8699898543687041E-3</v>
      </c>
      <c r="E666" s="3">
        <v>45036</v>
      </c>
      <c r="F666" s="1">
        <v>88.36</v>
      </c>
      <c r="G666" s="4">
        <f t="shared" si="41"/>
        <v>3.5207268597388097E-3</v>
      </c>
      <c r="I666" s="3">
        <v>45036</v>
      </c>
      <c r="J666" s="1">
        <v>99.572000000000003</v>
      </c>
      <c r="K666" s="4">
        <f t="shared" si="42"/>
        <v>-2.3245561300148099E-3</v>
      </c>
      <c r="M666" s="5">
        <v>45036</v>
      </c>
      <c r="N666" s="2">
        <v>17618.75</v>
      </c>
      <c r="O666" s="4">
        <f t="shared" si="43"/>
        <v>-2.3442609490860189E-3</v>
      </c>
    </row>
    <row r="667" spans="1:15" x14ac:dyDescent="0.25">
      <c r="A667" s="3">
        <v>45035</v>
      </c>
      <c r="B667" s="1">
        <v>253.31100000000001</v>
      </c>
      <c r="C667" s="4">
        <f t="shared" si="40"/>
        <v>4.1583750227938143E-3</v>
      </c>
      <c r="E667" s="3">
        <v>45035</v>
      </c>
      <c r="F667" s="1">
        <v>88.05</v>
      </c>
      <c r="G667" s="4">
        <f t="shared" si="41"/>
        <v>1.1358473421152482E-4</v>
      </c>
      <c r="I667" s="3">
        <v>45035</v>
      </c>
      <c r="J667" s="1">
        <v>99.804000000000002</v>
      </c>
      <c r="K667" s="4">
        <f t="shared" si="42"/>
        <v>2.2595125478264144E-3</v>
      </c>
      <c r="M667" s="5">
        <v>45035</v>
      </c>
      <c r="N667" s="2">
        <v>17660.150000000001</v>
      </c>
      <c r="O667" s="4">
        <f t="shared" si="43"/>
        <v>-2.6373973914048943E-3</v>
      </c>
    </row>
    <row r="668" spans="1:15" x14ac:dyDescent="0.25">
      <c r="A668" s="3">
        <v>45034</v>
      </c>
      <c r="B668" s="1">
        <v>252.262</v>
      </c>
      <c r="C668" s="4">
        <f t="shared" si="40"/>
        <v>5.2762036837785686E-3</v>
      </c>
      <c r="E668" s="3">
        <v>45034</v>
      </c>
      <c r="F668" s="1">
        <v>88.04</v>
      </c>
      <c r="G668" s="4">
        <f t="shared" si="41"/>
        <v>4.1058394160584655E-3</v>
      </c>
      <c r="I668" s="3">
        <v>45034</v>
      </c>
      <c r="J668" s="1">
        <v>99.578999999999994</v>
      </c>
      <c r="K668" s="4">
        <f t="shared" si="42"/>
        <v>-3.552344547401276E-3</v>
      </c>
      <c r="M668" s="5">
        <v>45034</v>
      </c>
      <c r="N668" s="2">
        <v>17706.849999999999</v>
      </c>
      <c r="O668" s="4">
        <f t="shared" si="43"/>
        <v>-6.7954902400718664E-3</v>
      </c>
    </row>
    <row r="669" spans="1:15" x14ac:dyDescent="0.25">
      <c r="A669" s="3">
        <v>45033</v>
      </c>
      <c r="B669" s="1">
        <v>250.93799999999999</v>
      </c>
      <c r="C669" s="4">
        <f t="shared" si="40"/>
        <v>2.9777012146621207E-3</v>
      </c>
      <c r="E669" s="3">
        <v>45033</v>
      </c>
      <c r="F669" s="1">
        <v>87.68</v>
      </c>
      <c r="G669" s="4">
        <f t="shared" si="41"/>
        <v>-7.9772079772066906E-4</v>
      </c>
      <c r="I669" s="3">
        <v>45033</v>
      </c>
      <c r="J669" s="1">
        <v>99.933999999999997</v>
      </c>
      <c r="K669" s="4">
        <f t="shared" si="42"/>
        <v>-2.8010644044740296E-4</v>
      </c>
      <c r="M669" s="5">
        <v>45033</v>
      </c>
      <c r="N669" s="2">
        <v>17828</v>
      </c>
      <c r="O669" s="4">
        <f t="shared" si="43"/>
        <v>8.7579439042451135E-4</v>
      </c>
    </row>
    <row r="670" spans="1:15" x14ac:dyDescent="0.25">
      <c r="A670" s="3">
        <v>45029</v>
      </c>
      <c r="B670" s="1">
        <v>250.19300000000001</v>
      </c>
      <c r="C670" s="4">
        <f t="shared" si="40"/>
        <v>2.5043274778817626E-3</v>
      </c>
      <c r="E670" s="3">
        <v>45029</v>
      </c>
      <c r="F670" s="1">
        <v>87.75</v>
      </c>
      <c r="G670" s="4">
        <f t="shared" si="41"/>
        <v>3.4199726402195374E-4</v>
      </c>
      <c r="I670" s="3">
        <v>45029</v>
      </c>
      <c r="J670" s="1">
        <v>99.962000000000003</v>
      </c>
      <c r="K670" s="4">
        <f t="shared" si="42"/>
        <v>-4.0748821870858487E-3</v>
      </c>
      <c r="M670" s="5">
        <v>45029</v>
      </c>
      <c r="N670" s="2">
        <v>17812.400000000001</v>
      </c>
      <c r="O670" s="4">
        <f t="shared" si="43"/>
        <v>5.083990227002344E-3</v>
      </c>
    </row>
    <row r="671" spans="1:15" x14ac:dyDescent="0.25">
      <c r="A671" s="3">
        <v>45028</v>
      </c>
      <c r="B671" s="1">
        <v>249.56800000000001</v>
      </c>
      <c r="C671" s="4">
        <f t="shared" si="40"/>
        <v>2.0115069439146094E-3</v>
      </c>
      <c r="E671" s="3">
        <v>45028</v>
      </c>
      <c r="F671" s="1">
        <v>87.72</v>
      </c>
      <c r="G671" s="4">
        <f t="shared" si="41"/>
        <v>-4.8780487804879202E-3</v>
      </c>
      <c r="I671" s="3">
        <v>45028</v>
      </c>
      <c r="J671" s="1">
        <v>100.371</v>
      </c>
      <c r="K671" s="4">
        <f t="shared" si="42"/>
        <v>9.4738521680159948E-4</v>
      </c>
      <c r="M671" s="5">
        <v>45028</v>
      </c>
      <c r="N671" s="2">
        <v>17722.3</v>
      </c>
      <c r="O671" s="4">
        <f t="shared" si="43"/>
        <v>5.5747685690858972E-3</v>
      </c>
    </row>
    <row r="672" spans="1:15" x14ac:dyDescent="0.25">
      <c r="A672" s="3">
        <v>45027</v>
      </c>
      <c r="B672" s="1">
        <v>249.06700000000001</v>
      </c>
      <c r="C672" s="4">
        <f t="shared" si="40"/>
        <v>3.4810215831395652E-3</v>
      </c>
      <c r="E672" s="3">
        <v>45027</v>
      </c>
      <c r="F672" s="1">
        <v>88.15</v>
      </c>
      <c r="G672" s="4">
        <f t="shared" si="41"/>
        <v>3.4044484793471774E-4</v>
      </c>
      <c r="I672" s="3">
        <v>45027</v>
      </c>
      <c r="J672" s="1">
        <v>100.276</v>
      </c>
      <c r="K672" s="4">
        <f t="shared" si="42"/>
        <v>2.3490368948730911E-3</v>
      </c>
      <c r="M672" s="5">
        <v>45027</v>
      </c>
      <c r="N672" s="2">
        <v>17624.05</v>
      </c>
      <c r="O672" s="4">
        <f t="shared" si="43"/>
        <v>1.4148410576646508E-3</v>
      </c>
    </row>
    <row r="673" spans="1:15" x14ac:dyDescent="0.25">
      <c r="A673" s="3">
        <v>45026</v>
      </c>
      <c r="B673" s="1">
        <v>248.203</v>
      </c>
      <c r="C673" s="4">
        <f t="shared" si="40"/>
        <v>8.0579852619333536E-6</v>
      </c>
      <c r="E673" s="3">
        <v>45026</v>
      </c>
      <c r="F673" s="1">
        <v>88.12</v>
      </c>
      <c r="G673" s="4">
        <f t="shared" si="41"/>
        <v>-7.769395338362739E-3</v>
      </c>
      <c r="I673" s="3">
        <v>45026</v>
      </c>
      <c r="J673" s="1">
        <v>100.041</v>
      </c>
      <c r="K673" s="4">
        <f t="shared" si="42"/>
        <v>4.4478804795275995E-3</v>
      </c>
      <c r="M673" s="5">
        <v>45026</v>
      </c>
      <c r="N673" s="2">
        <v>17599.150000000001</v>
      </c>
      <c r="O673" s="4">
        <f t="shared" si="43"/>
        <v>2.3978971410345551E-3</v>
      </c>
    </row>
    <row r="674" spans="1:15" x14ac:dyDescent="0.25">
      <c r="A674" s="3">
        <v>45022</v>
      </c>
      <c r="B674" s="1">
        <v>248.20099999999999</v>
      </c>
      <c r="C674" s="4">
        <f t="shared" si="40"/>
        <v>2.1116126583708983E-3</v>
      </c>
      <c r="E674" s="3">
        <v>45022</v>
      </c>
      <c r="F674" s="1">
        <v>88.81</v>
      </c>
      <c r="G674" s="4">
        <f t="shared" si="41"/>
        <v>-2.1348314606741692E-3</v>
      </c>
      <c r="I674" s="3">
        <v>45022</v>
      </c>
      <c r="J674" s="1">
        <v>99.597999999999999</v>
      </c>
      <c r="K674" s="4">
        <f t="shared" si="42"/>
        <v>1.5385388908442099E-3</v>
      </c>
      <c r="M674" s="5">
        <v>45022</v>
      </c>
      <c r="N674" s="2">
        <v>17557.05</v>
      </c>
      <c r="O674" s="4">
        <f t="shared" si="43"/>
        <v>9.1389552277409969E-3</v>
      </c>
    </row>
    <row r="675" spans="1:15" x14ac:dyDescent="0.25">
      <c r="A675" s="3">
        <v>45021</v>
      </c>
      <c r="B675" s="1">
        <v>247.678</v>
      </c>
      <c r="C675" s="4">
        <f t="shared" si="40"/>
        <v>-1.5801991373401991E-3</v>
      </c>
      <c r="E675" s="3">
        <v>45021</v>
      </c>
      <c r="F675" s="1">
        <v>89</v>
      </c>
      <c r="G675" s="4">
        <f t="shared" si="41"/>
        <v>5.0818746470919773E-3</v>
      </c>
      <c r="I675" s="3">
        <v>45021</v>
      </c>
      <c r="J675" s="1">
        <v>99.444999999999993</v>
      </c>
      <c r="K675" s="4">
        <f t="shared" si="42"/>
        <v>2.6314728181964231E-3</v>
      </c>
      <c r="M675" s="5">
        <v>45021</v>
      </c>
      <c r="N675" s="2">
        <v>17398.05</v>
      </c>
      <c r="O675" s="4">
        <f t="shared" si="43"/>
        <v>2.2062529702329137E-3</v>
      </c>
    </row>
    <row r="676" spans="1:15" x14ac:dyDescent="0.25">
      <c r="A676" s="3">
        <v>45019</v>
      </c>
      <c r="B676" s="1">
        <v>248.07</v>
      </c>
      <c r="C676" s="4">
        <f t="shared" si="40"/>
        <v>8.8692511126753359E-5</v>
      </c>
      <c r="E676" s="3">
        <v>45019</v>
      </c>
      <c r="F676" s="1">
        <v>88.55</v>
      </c>
      <c r="G676" s="4">
        <f t="shared" si="41"/>
        <v>2.3771790808240212E-3</v>
      </c>
      <c r="I676" s="3">
        <v>45019</v>
      </c>
      <c r="J676" s="1">
        <v>99.183999999999997</v>
      </c>
      <c r="K676" s="4">
        <f t="shared" si="42"/>
        <v>4.0187474060351391E-3</v>
      </c>
      <c r="M676" s="5">
        <v>45019</v>
      </c>
      <c r="N676" s="2">
        <v>17359.75</v>
      </c>
      <c r="O676" s="4">
        <f t="shared" si="43"/>
        <v>1.6337152458622883E-2</v>
      </c>
    </row>
    <row r="677" spans="1:15" x14ac:dyDescent="0.25">
      <c r="A677" s="3">
        <v>45016</v>
      </c>
      <c r="B677" s="1">
        <v>248.048</v>
      </c>
      <c r="C677" s="4">
        <f t="shared" si="40"/>
        <v>-8.9418777943373051E-4</v>
      </c>
      <c r="E677" s="3">
        <v>45016</v>
      </c>
      <c r="F677" s="1">
        <v>88.34</v>
      </c>
      <c r="G677" s="4">
        <f t="shared" si="41"/>
        <v>2.8380065841753233E-3</v>
      </c>
      <c r="I677" s="3">
        <v>45016</v>
      </c>
      <c r="J677" s="1">
        <v>98.787000000000006</v>
      </c>
      <c r="K677" s="4">
        <f t="shared" si="42"/>
        <v>1.7847907434263011E-3</v>
      </c>
      <c r="M677" s="5">
        <v>45016</v>
      </c>
      <c r="N677" s="2">
        <v>17080.7</v>
      </c>
      <c r="O677" s="4">
        <f t="shared" si="43"/>
        <v>7.6098562386073265E-3</v>
      </c>
    </row>
    <row r="678" spans="1:15" x14ac:dyDescent="0.25">
      <c r="A678" s="3">
        <v>45014</v>
      </c>
      <c r="B678" s="1">
        <v>248.27</v>
      </c>
      <c r="C678" s="4">
        <f t="shared" si="40"/>
        <v>7.1747577511560579E-4</v>
      </c>
      <c r="E678" s="3">
        <v>45014</v>
      </c>
      <c r="F678" s="1">
        <v>88.09</v>
      </c>
      <c r="G678" s="4">
        <f t="shared" si="41"/>
        <v>3.6458926740345898E-3</v>
      </c>
      <c r="I678" s="3">
        <v>45014</v>
      </c>
      <c r="J678" s="1">
        <v>98.611000000000004</v>
      </c>
      <c r="K678" s="4">
        <f t="shared" si="42"/>
        <v>1.3223870782129943E-2</v>
      </c>
      <c r="M678" s="5">
        <v>45014</v>
      </c>
      <c r="N678" s="2">
        <v>16951.7</v>
      </c>
      <c r="O678" s="4">
        <f t="shared" si="43"/>
        <v>-2.0016837692883316E-3</v>
      </c>
    </row>
    <row r="679" spans="1:15" x14ac:dyDescent="0.25">
      <c r="A679" s="3">
        <v>45013</v>
      </c>
      <c r="B679" s="1">
        <v>248.09200000000001</v>
      </c>
      <c r="C679" s="4">
        <f t="shared" si="40"/>
        <v>3.4541615771039869E-3</v>
      </c>
      <c r="E679" s="3">
        <v>45013</v>
      </c>
      <c r="F679" s="1">
        <v>87.77</v>
      </c>
      <c r="G679" s="4">
        <f t="shared" si="41"/>
        <v>7.2297452375487126E-3</v>
      </c>
      <c r="I679" s="3">
        <v>45013</v>
      </c>
      <c r="J679" s="1">
        <v>97.323999999999998</v>
      </c>
      <c r="K679" s="4">
        <f t="shared" si="42"/>
        <v>1.0308208157290943E-2</v>
      </c>
      <c r="M679" s="5">
        <v>45013</v>
      </c>
      <c r="N679" s="2">
        <v>16985.7</v>
      </c>
      <c r="O679" s="4">
        <f t="shared" si="43"/>
        <v>2.3989306611666983E-3</v>
      </c>
    </row>
    <row r="680" spans="1:15" x14ac:dyDescent="0.25">
      <c r="A680" s="3">
        <v>45012</v>
      </c>
      <c r="B680" s="1">
        <v>247.238</v>
      </c>
      <c r="C680" s="4">
        <f t="shared" si="40"/>
        <v>5.4535028894211468E-3</v>
      </c>
      <c r="E680" s="3">
        <v>45012</v>
      </c>
      <c r="F680" s="1">
        <v>87.14</v>
      </c>
      <c r="G680" s="4">
        <f t="shared" si="41"/>
        <v>1.3789933348655747E-3</v>
      </c>
      <c r="I680" s="3">
        <v>45012</v>
      </c>
      <c r="J680" s="1">
        <v>96.331000000000003</v>
      </c>
      <c r="K680" s="4">
        <f t="shared" si="42"/>
        <v>-2.0511970495912246E-3</v>
      </c>
      <c r="M680" s="5">
        <v>45012</v>
      </c>
      <c r="N680" s="2">
        <v>16945.05</v>
      </c>
      <c r="O680" s="4">
        <f t="shared" si="43"/>
        <v>-7.7209563796709624E-3</v>
      </c>
    </row>
    <row r="681" spans="1:15" x14ac:dyDescent="0.25">
      <c r="A681" s="3">
        <v>45009</v>
      </c>
      <c r="B681" s="1">
        <v>245.89699999999999</v>
      </c>
      <c r="C681" s="4">
        <f t="shared" si="40"/>
        <v>4.6453668900146017E-3</v>
      </c>
      <c r="E681" s="3">
        <v>45009</v>
      </c>
      <c r="F681" s="1">
        <v>87.02</v>
      </c>
      <c r="G681" s="4">
        <f t="shared" si="41"/>
        <v>1.5995329830706284E-2</v>
      </c>
      <c r="I681" s="3">
        <v>45009</v>
      </c>
      <c r="J681" s="1">
        <v>96.528999999999996</v>
      </c>
      <c r="K681" s="4">
        <f t="shared" si="42"/>
        <v>-4.556138879396876E-4</v>
      </c>
      <c r="M681" s="5">
        <v>45009</v>
      </c>
      <c r="N681" s="2">
        <v>17076.900000000001</v>
      </c>
      <c r="O681" s="4">
        <f t="shared" si="43"/>
        <v>-4.3726934042292998E-3</v>
      </c>
    </row>
    <row r="682" spans="1:15" x14ac:dyDescent="0.25">
      <c r="A682" s="3">
        <v>45008</v>
      </c>
      <c r="B682" s="1">
        <v>244.76</v>
      </c>
      <c r="C682" s="4">
        <f t="shared" si="40"/>
        <v>4.1971469247590321E-3</v>
      </c>
      <c r="E682" s="3">
        <v>45008</v>
      </c>
      <c r="F682" s="1">
        <v>85.65</v>
      </c>
      <c r="G682" s="4">
        <f t="shared" si="41"/>
        <v>9.4284030642310945E-3</v>
      </c>
      <c r="I682" s="3">
        <v>45008</v>
      </c>
      <c r="J682" s="1">
        <v>96.572999999999993</v>
      </c>
      <c r="K682" s="4">
        <f t="shared" si="42"/>
        <v>-9.0706670634228548E-3</v>
      </c>
      <c r="M682" s="5">
        <v>45008</v>
      </c>
      <c r="N682" s="2">
        <v>17151.900000000001</v>
      </c>
      <c r="O682" s="4">
        <f t="shared" si="43"/>
        <v>2.5953529153881494E-3</v>
      </c>
    </row>
    <row r="683" spans="1:15" x14ac:dyDescent="0.25">
      <c r="A683" s="3">
        <v>45007</v>
      </c>
      <c r="B683" s="1">
        <v>243.73699999999999</v>
      </c>
      <c r="C683" s="4">
        <f t="shared" si="40"/>
        <v>1.907322226469832E-3</v>
      </c>
      <c r="E683" s="3">
        <v>45007</v>
      </c>
      <c r="F683" s="1">
        <v>84.85</v>
      </c>
      <c r="G683" s="4">
        <f t="shared" si="41"/>
        <v>-3.289087278280256E-3</v>
      </c>
      <c r="I683" s="3">
        <v>45007</v>
      </c>
      <c r="J683" s="1">
        <v>97.456999999999994</v>
      </c>
      <c r="K683" s="4">
        <f t="shared" si="42"/>
        <v>-3.5581003016207369E-3</v>
      </c>
      <c r="M683" s="5">
        <v>45007</v>
      </c>
      <c r="N683" s="2">
        <v>17107.5</v>
      </c>
      <c r="O683" s="4">
        <f t="shared" si="43"/>
        <v>7.0106661015751914E-3</v>
      </c>
    </row>
    <row r="684" spans="1:15" x14ac:dyDescent="0.25">
      <c r="A684" s="3">
        <v>45006</v>
      </c>
      <c r="B684" s="1">
        <v>243.273</v>
      </c>
      <c r="C684" s="4">
        <f t="shared" si="40"/>
        <v>4.9779400829519371E-3</v>
      </c>
      <c r="E684" s="3">
        <v>45006</v>
      </c>
      <c r="F684" s="1">
        <v>85.13</v>
      </c>
      <c r="G684" s="4">
        <f t="shared" si="41"/>
        <v>-7.0430801737297877E-4</v>
      </c>
      <c r="I684" s="3">
        <v>45006</v>
      </c>
      <c r="J684" s="1">
        <v>97.805000000000007</v>
      </c>
      <c r="K684" s="4">
        <f t="shared" si="42"/>
        <v>2.5729339647784233E-3</v>
      </c>
      <c r="M684" s="5">
        <v>45006</v>
      </c>
      <c r="N684" s="2">
        <v>16988.400000000001</v>
      </c>
      <c r="O684" s="4">
        <f t="shared" si="43"/>
        <v>-6.5292206747932235E-3</v>
      </c>
    </row>
    <row r="685" spans="1:15" x14ac:dyDescent="0.25">
      <c r="A685" s="3">
        <v>45005</v>
      </c>
      <c r="B685" s="1">
        <v>242.06800000000001</v>
      </c>
      <c r="C685" s="4">
        <f t="shared" si="40"/>
        <v>9.9127213257013125E-3</v>
      </c>
      <c r="E685" s="3">
        <v>45005</v>
      </c>
      <c r="F685" s="1">
        <v>85.19</v>
      </c>
      <c r="G685" s="4">
        <f t="shared" si="41"/>
        <v>-6.7622711903928545E-3</v>
      </c>
      <c r="I685" s="3">
        <v>45005</v>
      </c>
      <c r="J685" s="1">
        <v>97.554000000000002</v>
      </c>
      <c r="K685" s="4">
        <f t="shared" si="42"/>
        <v>4.5514457533570862E-3</v>
      </c>
      <c r="M685" s="5">
        <v>45005</v>
      </c>
      <c r="N685" s="2">
        <v>17100.05</v>
      </c>
      <c r="O685" s="4">
        <f t="shared" si="43"/>
        <v>6.7380604747551143E-3</v>
      </c>
    </row>
    <row r="686" spans="1:15" x14ac:dyDescent="0.25">
      <c r="A686" s="3">
        <v>45002</v>
      </c>
      <c r="B686" s="1">
        <v>239.69200000000001</v>
      </c>
      <c r="C686" s="4">
        <f t="shared" si="40"/>
        <v>1.2058977520309488E-2</v>
      </c>
      <c r="E686" s="3">
        <v>45002</v>
      </c>
      <c r="F686" s="1">
        <v>85.77</v>
      </c>
      <c r="G686" s="4">
        <f t="shared" si="41"/>
        <v>-3.8327526132404532E-3</v>
      </c>
      <c r="I686" s="3">
        <v>45002</v>
      </c>
      <c r="J686" s="1">
        <v>97.111999999999995</v>
      </c>
      <c r="K686" s="4">
        <f t="shared" si="42"/>
        <v>-6.5471806203453164E-3</v>
      </c>
      <c r="M686" s="5">
        <v>45002</v>
      </c>
      <c r="N686" s="2">
        <v>16985.599999999999</v>
      </c>
      <c r="O686" s="4">
        <f t="shared" si="43"/>
        <v>7.9247473066157426E-4</v>
      </c>
    </row>
    <row r="687" spans="1:15" x14ac:dyDescent="0.25">
      <c r="A687" s="3">
        <v>45001</v>
      </c>
      <c r="B687" s="1">
        <v>236.83600000000001</v>
      </c>
      <c r="C687" s="4">
        <f t="shared" si="40"/>
        <v>-3.081223060344862E-3</v>
      </c>
      <c r="E687" s="3">
        <v>45001</v>
      </c>
      <c r="F687" s="1">
        <v>86.1</v>
      </c>
      <c r="G687" s="4">
        <f t="shared" si="41"/>
        <v>2.2116168082877419E-3</v>
      </c>
      <c r="I687" s="3">
        <v>45001</v>
      </c>
      <c r="J687" s="1">
        <v>97.751999999999995</v>
      </c>
      <c r="K687" s="4">
        <f t="shared" si="42"/>
        <v>5.8756341260122191E-3</v>
      </c>
      <c r="M687" s="5">
        <v>45001</v>
      </c>
      <c r="N687" s="2">
        <v>16972.150000000001</v>
      </c>
      <c r="O687" s="4">
        <f t="shared" si="43"/>
        <v>-4.1746610104849147E-3</v>
      </c>
    </row>
    <row r="688" spans="1:15" x14ac:dyDescent="0.25">
      <c r="A688" s="3">
        <v>45000</v>
      </c>
      <c r="B688" s="1">
        <v>237.56800000000001</v>
      </c>
      <c r="C688" s="4">
        <f t="shared" si="40"/>
        <v>-2.0289769839234584E-3</v>
      </c>
      <c r="E688" s="3">
        <v>45000</v>
      </c>
      <c r="F688" s="1">
        <v>85.91</v>
      </c>
      <c r="G688" s="4">
        <f t="shared" si="41"/>
        <v>4.7953216374267971E-3</v>
      </c>
      <c r="I688" s="3">
        <v>45000</v>
      </c>
      <c r="J688" s="1">
        <v>97.180999999999997</v>
      </c>
      <c r="K688" s="4">
        <f t="shared" si="42"/>
        <v>-7.8143475533898332E-4</v>
      </c>
      <c r="M688" s="5">
        <v>45000</v>
      </c>
      <c r="N688" s="2">
        <v>17043.3</v>
      </c>
      <c r="O688" s="4">
        <f t="shared" si="43"/>
        <v>-6.4706808205522437E-3</v>
      </c>
    </row>
    <row r="689" spans="1:15" x14ac:dyDescent="0.25">
      <c r="A689" s="3">
        <v>44999</v>
      </c>
      <c r="B689" s="1">
        <v>238.05099999999999</v>
      </c>
      <c r="C689" s="4">
        <f t="shared" si="40"/>
        <v>-8.0216354968830617E-3</v>
      </c>
      <c r="E689" s="3">
        <v>44999</v>
      </c>
      <c r="F689" s="1">
        <v>85.5</v>
      </c>
      <c r="G689" s="4">
        <f t="shared" si="41"/>
        <v>-6.2761506276151069E-3</v>
      </c>
      <c r="I689" s="3">
        <v>44999</v>
      </c>
      <c r="J689" s="1">
        <v>97.257000000000005</v>
      </c>
      <c r="K689" s="4">
        <f t="shared" si="42"/>
        <v>-3.8919671845714099E-3</v>
      </c>
      <c r="M689" s="5">
        <v>44999</v>
      </c>
      <c r="N689" s="2">
        <v>17154.3</v>
      </c>
      <c r="O689" s="4">
        <f t="shared" si="43"/>
        <v>-1.4851058697862074E-2</v>
      </c>
    </row>
    <row r="690" spans="1:15" x14ac:dyDescent="0.25">
      <c r="A690" s="3">
        <v>44998</v>
      </c>
      <c r="B690" s="1">
        <v>239.976</v>
      </c>
      <c r="C690" s="4">
        <f t="shared" si="40"/>
        <v>-3.1652668045759613E-3</v>
      </c>
      <c r="E690" s="3">
        <v>44998</v>
      </c>
      <c r="F690" s="1">
        <v>86.04</v>
      </c>
      <c r="G690" s="4">
        <f t="shared" si="41"/>
        <v>4.5534150612960289E-3</v>
      </c>
      <c r="I690" s="3">
        <v>44998</v>
      </c>
      <c r="J690" s="1">
        <v>97.637</v>
      </c>
      <c r="K690" s="4">
        <f t="shared" si="42"/>
        <v>-4.4050617422427552E-3</v>
      </c>
      <c r="M690" s="5">
        <v>44998</v>
      </c>
      <c r="N690" s="2">
        <v>17412.900000000001</v>
      </c>
      <c r="O690" s="4">
        <f t="shared" si="43"/>
        <v>-1.0045708827943645E-2</v>
      </c>
    </row>
    <row r="691" spans="1:15" x14ac:dyDescent="0.25">
      <c r="A691" s="3">
        <v>44995</v>
      </c>
      <c r="B691" s="1">
        <v>240.738</v>
      </c>
      <c r="C691" s="4">
        <f t="shared" si="40"/>
        <v>3.5224037383332352E-3</v>
      </c>
      <c r="E691" s="3">
        <v>44995</v>
      </c>
      <c r="F691" s="1">
        <v>85.65</v>
      </c>
      <c r="G691" s="4">
        <f t="shared" si="41"/>
        <v>0</v>
      </c>
      <c r="I691" s="3">
        <v>44995</v>
      </c>
      <c r="J691" s="1">
        <v>98.069000000000003</v>
      </c>
      <c r="K691" s="4">
        <f t="shared" si="42"/>
        <v>-1.6812704268842737E-2</v>
      </c>
      <c r="M691" s="5">
        <v>44995</v>
      </c>
      <c r="N691" s="2">
        <v>17589.599999999999</v>
      </c>
      <c r="O691" s="4">
        <f t="shared" si="43"/>
        <v>-9.2822061010230383E-3</v>
      </c>
    </row>
    <row r="692" spans="1:15" x14ac:dyDescent="0.25">
      <c r="A692" s="3">
        <v>44994</v>
      </c>
      <c r="B692" s="1">
        <v>239.893</v>
      </c>
      <c r="C692" s="4">
        <f t="shared" si="40"/>
        <v>2.6079433608197089E-3</v>
      </c>
      <c r="E692" s="3">
        <v>44994</v>
      </c>
      <c r="F692" s="1">
        <v>85.65</v>
      </c>
      <c r="G692" s="4">
        <f t="shared" si="41"/>
        <v>-5.4575011611704971E-3</v>
      </c>
      <c r="I692" s="3">
        <v>44994</v>
      </c>
      <c r="J692" s="1">
        <v>99.745999999999995</v>
      </c>
      <c r="K692" s="4">
        <f t="shared" si="42"/>
        <v>-6.6722434671765418E-3</v>
      </c>
      <c r="M692" s="5">
        <v>44994</v>
      </c>
      <c r="N692" s="2">
        <v>17754.400000000001</v>
      </c>
      <c r="O692" s="4">
        <f t="shared" si="43"/>
        <v>2.4249849673516621E-3</v>
      </c>
    </row>
    <row r="693" spans="1:15" x14ac:dyDescent="0.25">
      <c r="A693" s="3">
        <v>44993</v>
      </c>
      <c r="B693" s="1">
        <v>239.26900000000001</v>
      </c>
      <c r="C693" s="4">
        <f t="shared" si="40"/>
        <v>-7.0424873218628559E-3</v>
      </c>
      <c r="E693" s="3">
        <v>44993</v>
      </c>
      <c r="F693" s="1">
        <v>86.12</v>
      </c>
      <c r="G693" s="4">
        <f t="shared" si="41"/>
        <v>-4.7382410724603474E-3</v>
      </c>
      <c r="I693" s="3">
        <v>44993</v>
      </c>
      <c r="J693" s="1">
        <v>100.416</v>
      </c>
      <c r="K693" s="4">
        <f t="shared" si="42"/>
        <v>-7.0405822324183243E-3</v>
      </c>
      <c r="M693" s="5">
        <v>44993</v>
      </c>
      <c r="N693" s="2">
        <v>17711.45</v>
      </c>
      <c r="O693" s="4">
        <f t="shared" si="43"/>
        <v>6.6555456723325079E-3</v>
      </c>
    </row>
    <row r="694" spans="1:15" x14ac:dyDescent="0.25">
      <c r="A694" s="3">
        <v>44991</v>
      </c>
      <c r="B694" s="1">
        <v>240.96600000000001</v>
      </c>
      <c r="C694" s="4">
        <f t="shared" si="40"/>
        <v>4.5984582866052115E-3</v>
      </c>
      <c r="E694" s="3">
        <v>44991</v>
      </c>
      <c r="F694" s="1">
        <v>86.53</v>
      </c>
      <c r="G694" s="4">
        <f t="shared" si="41"/>
        <v>-1.4913479052823364E-2</v>
      </c>
      <c r="I694" s="3">
        <v>44991</v>
      </c>
      <c r="J694" s="1">
        <v>101.128</v>
      </c>
      <c r="K694" s="4">
        <f t="shared" si="42"/>
        <v>5.7183773731266374E-3</v>
      </c>
      <c r="M694" s="5">
        <v>44991</v>
      </c>
      <c r="N694" s="2">
        <v>17594.349999999999</v>
      </c>
      <c r="O694" s="4">
        <f t="shared" si="43"/>
        <v>1.5728644086387522E-2</v>
      </c>
    </row>
    <row r="695" spans="1:15" x14ac:dyDescent="0.25">
      <c r="A695" s="3">
        <v>44988</v>
      </c>
      <c r="B695" s="1">
        <v>239.863</v>
      </c>
      <c r="C695" s="4">
        <f t="shared" si="40"/>
        <v>8.8879616106818382E-4</v>
      </c>
      <c r="E695" s="3">
        <v>44988</v>
      </c>
      <c r="F695" s="1">
        <v>87.84</v>
      </c>
      <c r="G695" s="4">
        <f t="shared" si="41"/>
        <v>-8.465966813410053E-3</v>
      </c>
      <c r="I695" s="3">
        <v>44988</v>
      </c>
      <c r="J695" s="1">
        <v>100.553</v>
      </c>
      <c r="K695" s="4">
        <f t="shared" si="42"/>
        <v>5.7009691647580407E-3</v>
      </c>
      <c r="M695" s="5">
        <v>44988</v>
      </c>
      <c r="N695" s="2">
        <v>17321.900000000001</v>
      </c>
      <c r="O695" s="4">
        <f t="shared" si="43"/>
        <v>-7.3921688852723877E-3</v>
      </c>
    </row>
    <row r="696" spans="1:15" x14ac:dyDescent="0.25">
      <c r="A696" s="3">
        <v>44987</v>
      </c>
      <c r="B696" s="1">
        <v>239.65</v>
      </c>
      <c r="C696" s="4">
        <f t="shared" si="40"/>
        <v>-4.0459317530572303E-4</v>
      </c>
      <c r="E696" s="3">
        <v>44987</v>
      </c>
      <c r="F696" s="1">
        <v>88.59</v>
      </c>
      <c r="G696" s="4">
        <f t="shared" si="41"/>
        <v>-7.5061617745910691E-3</v>
      </c>
      <c r="I696" s="3">
        <v>44987</v>
      </c>
      <c r="J696" s="1">
        <v>99.983000000000004</v>
      </c>
      <c r="K696" s="4">
        <f t="shared" si="42"/>
        <v>1.130834976988826E-2</v>
      </c>
      <c r="M696" s="5">
        <v>44987</v>
      </c>
      <c r="N696" s="2">
        <v>17450.900000000001</v>
      </c>
      <c r="O696" s="4">
        <f t="shared" si="43"/>
        <v>8.4922806642413473E-3</v>
      </c>
    </row>
    <row r="697" spans="1:15" x14ac:dyDescent="0.25">
      <c r="A697" s="3">
        <v>44986</v>
      </c>
      <c r="B697" s="1">
        <v>239.74700000000001</v>
      </c>
      <c r="C697" s="4">
        <f t="shared" si="40"/>
        <v>-4.302629338449826E-3</v>
      </c>
      <c r="E697" s="3">
        <v>44986</v>
      </c>
      <c r="F697" s="1">
        <v>89.26</v>
      </c>
      <c r="G697" s="4">
        <f t="shared" si="41"/>
        <v>1.1215791834904287E-3</v>
      </c>
      <c r="I697" s="3">
        <v>44986</v>
      </c>
      <c r="J697" s="1">
        <v>98.864999999999995</v>
      </c>
      <c r="K697" s="4">
        <f t="shared" si="42"/>
        <v>-4.4809183365220884E-3</v>
      </c>
      <c r="M697" s="5">
        <v>44986</v>
      </c>
      <c r="N697" s="2">
        <v>17303.95</v>
      </c>
      <c r="O697" s="4">
        <f t="shared" si="43"/>
        <v>-9.2666811712031061E-3</v>
      </c>
    </row>
    <row r="698" spans="1:15" x14ac:dyDescent="0.25">
      <c r="A698" s="3">
        <v>44985</v>
      </c>
      <c r="B698" s="1">
        <v>240.78299999999999</v>
      </c>
      <c r="C698" s="4">
        <f t="shared" si="40"/>
        <v>-1.1746598534753572E-2</v>
      </c>
      <c r="E698" s="3">
        <v>44985</v>
      </c>
      <c r="F698" s="1">
        <v>89.16</v>
      </c>
      <c r="G698" s="4">
        <f t="shared" si="41"/>
        <v>7.3438029601173849E-3</v>
      </c>
      <c r="I698" s="3">
        <v>44985</v>
      </c>
      <c r="J698" s="1">
        <v>99.31</v>
      </c>
      <c r="K698" s="4">
        <f t="shared" si="42"/>
        <v>1.144766056260571E-2</v>
      </c>
      <c r="M698" s="5">
        <v>44985</v>
      </c>
      <c r="N698" s="2">
        <v>17465.8</v>
      </c>
      <c r="O698" s="4">
        <f t="shared" si="43"/>
        <v>-2.5954743379256184E-3</v>
      </c>
    </row>
    <row r="699" spans="1:15" x14ac:dyDescent="0.25">
      <c r="A699" s="3">
        <v>44981</v>
      </c>
      <c r="B699" s="1">
        <v>243.64500000000001</v>
      </c>
      <c r="C699" s="4">
        <f t="shared" si="40"/>
        <v>-6.8278167291699887E-3</v>
      </c>
      <c r="E699" s="3">
        <v>44981</v>
      </c>
      <c r="F699" s="1">
        <v>88.51</v>
      </c>
      <c r="G699" s="4">
        <f t="shared" si="41"/>
        <v>1.0618862754053549E-2</v>
      </c>
      <c r="I699" s="3">
        <v>44981</v>
      </c>
      <c r="J699" s="1">
        <v>98.186000000000007</v>
      </c>
      <c r="K699" s="4">
        <f t="shared" si="42"/>
        <v>-6.7071998705094948E-3</v>
      </c>
      <c r="M699" s="5">
        <v>44981</v>
      </c>
      <c r="N699" s="2">
        <v>17511.25</v>
      </c>
      <c r="O699" s="4">
        <f t="shared" si="43"/>
        <v>-2.4523905823643499E-3</v>
      </c>
    </row>
    <row r="700" spans="1:15" x14ac:dyDescent="0.25">
      <c r="A700" s="3">
        <v>44980</v>
      </c>
      <c r="B700" s="1">
        <v>245.32</v>
      </c>
      <c r="C700" s="4">
        <f t="shared" si="40"/>
        <v>-5.9564812188500627E-3</v>
      </c>
      <c r="E700" s="3">
        <v>44980</v>
      </c>
      <c r="F700" s="1">
        <v>87.58</v>
      </c>
      <c r="G700" s="4">
        <f t="shared" si="41"/>
        <v>-7.2545907957379807E-3</v>
      </c>
      <c r="I700" s="3">
        <v>44980</v>
      </c>
      <c r="J700" s="1">
        <v>98.849000000000004</v>
      </c>
      <c r="K700" s="4">
        <f t="shared" si="42"/>
        <v>-2.7340597255851584E-3</v>
      </c>
      <c r="M700" s="5">
        <v>44980</v>
      </c>
      <c r="N700" s="2">
        <v>17554.3</v>
      </c>
      <c r="O700" s="4">
        <f t="shared" si="43"/>
        <v>-1.528045011134993E-2</v>
      </c>
    </row>
    <row r="701" spans="1:15" x14ac:dyDescent="0.25">
      <c r="A701" s="3">
        <v>44979</v>
      </c>
      <c r="B701" s="1">
        <v>246.79</v>
      </c>
      <c r="C701" s="4">
        <f t="shared" si="40"/>
        <v>3.4153283187638994E-3</v>
      </c>
      <c r="E701" s="3">
        <v>44979</v>
      </c>
      <c r="F701" s="1">
        <v>88.22</v>
      </c>
      <c r="G701" s="4">
        <f t="shared" si="41"/>
        <v>9.1512239762068237E-3</v>
      </c>
      <c r="I701" s="3">
        <v>44979</v>
      </c>
      <c r="J701" s="1">
        <v>99.12</v>
      </c>
      <c r="K701" s="4">
        <f t="shared" si="42"/>
        <v>-1.2293182322000717E-3</v>
      </c>
      <c r="M701" s="5">
        <v>44979</v>
      </c>
      <c r="N701" s="2">
        <v>17826.7</v>
      </c>
      <c r="O701" s="4">
        <f t="shared" si="43"/>
        <v>-1.0031045806573324E-3</v>
      </c>
    </row>
    <row r="702" spans="1:15" x14ac:dyDescent="0.25">
      <c r="A702" s="3">
        <v>44978</v>
      </c>
      <c r="B702" s="1">
        <v>245.95</v>
      </c>
      <c r="C702" s="4">
        <f t="shared" si="40"/>
        <v>6.9765727995545479E-3</v>
      </c>
      <c r="E702" s="3">
        <v>44978</v>
      </c>
      <c r="F702" s="1">
        <v>87.42</v>
      </c>
      <c r="G702" s="4">
        <f t="shared" si="41"/>
        <v>-7.2677719736543578E-3</v>
      </c>
      <c r="I702" s="3">
        <v>44978</v>
      </c>
      <c r="J702" s="1">
        <v>99.242000000000004</v>
      </c>
      <c r="K702" s="4">
        <f t="shared" si="42"/>
        <v>-1.104135525660177E-2</v>
      </c>
      <c r="M702" s="5">
        <v>44978</v>
      </c>
      <c r="N702" s="2">
        <v>17844.599999999999</v>
      </c>
      <c r="O702" s="4">
        <f t="shared" si="43"/>
        <v>-5.5505400073562194E-3</v>
      </c>
    </row>
    <row r="703" spans="1:15" x14ac:dyDescent="0.25">
      <c r="A703" s="3">
        <v>44977</v>
      </c>
      <c r="B703" s="1">
        <v>244.24600000000001</v>
      </c>
      <c r="C703" s="4">
        <f t="shared" si="40"/>
        <v>1.080555383119175E-2</v>
      </c>
      <c r="E703" s="3">
        <v>44977</v>
      </c>
      <c r="F703" s="1">
        <v>88.06</v>
      </c>
      <c r="G703" s="4">
        <f t="shared" si="41"/>
        <v>-2.3790642347342184E-3</v>
      </c>
      <c r="I703" s="3">
        <v>44977</v>
      </c>
      <c r="J703" s="1">
        <v>100.35</v>
      </c>
      <c r="K703" s="4">
        <f t="shared" si="42"/>
        <v>-1.3335456391067035E-3</v>
      </c>
      <c r="M703" s="5">
        <v>44977</v>
      </c>
      <c r="N703" s="2">
        <v>17944.2</v>
      </c>
      <c r="O703" s="4">
        <f t="shared" si="43"/>
        <v>-5.0815459210404867E-3</v>
      </c>
    </row>
    <row r="704" spans="1:15" x14ac:dyDescent="0.25">
      <c r="A704" s="3">
        <v>44974</v>
      </c>
      <c r="B704" s="1">
        <v>241.63499999999999</v>
      </c>
      <c r="C704" s="4">
        <f t="shared" si="40"/>
        <v>-3.0119860540920307E-3</v>
      </c>
      <c r="E704" s="3">
        <v>44974</v>
      </c>
      <c r="F704" s="1">
        <v>88.27</v>
      </c>
      <c r="G704" s="4">
        <f t="shared" si="41"/>
        <v>-2.4861566278675529E-3</v>
      </c>
      <c r="I704" s="3">
        <v>44974</v>
      </c>
      <c r="J704" s="1">
        <v>100.48399999999999</v>
      </c>
      <c r="K704" s="4">
        <f t="shared" si="42"/>
        <v>-3.5896317156853819E-3</v>
      </c>
      <c r="M704" s="5">
        <v>44974</v>
      </c>
      <c r="N704" s="2">
        <v>18035.849999999999</v>
      </c>
      <c r="O704" s="4">
        <f t="shared" si="43"/>
        <v>1.1101335768226583E-3</v>
      </c>
    </row>
    <row r="705" spans="1:15" x14ac:dyDescent="0.25">
      <c r="A705" s="3">
        <v>44973</v>
      </c>
      <c r="B705" s="1">
        <v>242.36500000000001</v>
      </c>
      <c r="C705" s="4">
        <f t="shared" si="40"/>
        <v>8.5136838951560545E-3</v>
      </c>
      <c r="E705" s="3">
        <v>44973</v>
      </c>
      <c r="F705" s="1">
        <v>88.49</v>
      </c>
      <c r="G705" s="4">
        <f t="shared" si="41"/>
        <v>-1.1836962590731415E-2</v>
      </c>
      <c r="I705" s="3">
        <v>44973</v>
      </c>
      <c r="J705" s="1">
        <v>100.846</v>
      </c>
      <c r="K705" s="4">
        <f t="shared" si="42"/>
        <v>-5.1004804514467317E-3</v>
      </c>
      <c r="M705" s="5">
        <v>44973</v>
      </c>
      <c r="N705" s="2">
        <v>18015.849999999999</v>
      </c>
      <c r="O705" s="4">
        <f t="shared" si="43"/>
        <v>4.7964706899388254E-3</v>
      </c>
    </row>
    <row r="706" spans="1:15" x14ac:dyDescent="0.25">
      <c r="A706" s="3">
        <v>44972</v>
      </c>
      <c r="B706" s="1">
        <v>240.31899999999999</v>
      </c>
      <c r="C706" s="4">
        <f t="shared" si="40"/>
        <v>-4.1150046412943286E-3</v>
      </c>
      <c r="E706" s="3">
        <v>44972</v>
      </c>
      <c r="F706" s="1">
        <v>89.55</v>
      </c>
      <c r="G706" s="4">
        <f t="shared" si="41"/>
        <v>-7.8107565275620239E-4</v>
      </c>
      <c r="I706" s="3">
        <v>44972</v>
      </c>
      <c r="J706" s="1">
        <v>101.363</v>
      </c>
      <c r="K706" s="4">
        <f t="shared" si="42"/>
        <v>2.561718626364895E-3</v>
      </c>
      <c r="M706" s="5">
        <v>44972</v>
      </c>
      <c r="N706" s="2">
        <v>17929.849999999999</v>
      </c>
      <c r="O706" s="4">
        <f t="shared" si="43"/>
        <v>8.9443978639234256E-3</v>
      </c>
    </row>
    <row r="707" spans="1:15" x14ac:dyDescent="0.25">
      <c r="A707" s="3">
        <v>44971</v>
      </c>
      <c r="B707" s="1">
        <v>241.31200000000001</v>
      </c>
      <c r="C707" s="4">
        <f t="shared" ref="C707:C770" si="44">(B707/B708)-1</f>
        <v>-9.0257938972382323E-4</v>
      </c>
      <c r="E707" s="3">
        <v>44971</v>
      </c>
      <c r="F707" s="1">
        <v>89.62</v>
      </c>
      <c r="G707" s="4">
        <f t="shared" ref="G707:G770" si="45">(F707/F708)-1</f>
        <v>-4.000889086463677E-3</v>
      </c>
      <c r="I707" s="3">
        <v>44971</v>
      </c>
      <c r="J707" s="1">
        <v>101.104</v>
      </c>
      <c r="K707" s="4">
        <f t="shared" ref="K707:K770" si="46">(J707/J708)-1</f>
        <v>2.9959723021368845E-3</v>
      </c>
      <c r="M707" s="5">
        <v>44971</v>
      </c>
      <c r="N707" s="2">
        <v>17770.900000000001</v>
      </c>
      <c r="O707" s="4">
        <f t="shared" ref="O707:O770" si="47">(N707/N708)-1</f>
        <v>-4.7937725758125938E-3</v>
      </c>
    </row>
    <row r="708" spans="1:15" x14ac:dyDescent="0.25">
      <c r="A708" s="3">
        <v>44970</v>
      </c>
      <c r="B708" s="1">
        <v>241.53</v>
      </c>
      <c r="C708" s="4">
        <f t="shared" si="44"/>
        <v>3.5816976083233865E-3</v>
      </c>
      <c r="E708" s="3">
        <v>44970</v>
      </c>
      <c r="F708" s="1">
        <v>89.98</v>
      </c>
      <c r="G708" s="4">
        <f t="shared" si="45"/>
        <v>-5.3062126906918694E-3</v>
      </c>
      <c r="I708" s="3">
        <v>44970</v>
      </c>
      <c r="J708" s="1">
        <v>100.80200000000001</v>
      </c>
      <c r="K708" s="4">
        <f t="shared" si="46"/>
        <v>4.3040749227856168E-3</v>
      </c>
      <c r="M708" s="5">
        <v>44970</v>
      </c>
      <c r="N708" s="2">
        <v>17856.5</v>
      </c>
      <c r="O708" s="4">
        <f t="shared" si="47"/>
        <v>-2.0650014390740656E-3</v>
      </c>
    </row>
    <row r="709" spans="1:15" x14ac:dyDescent="0.25">
      <c r="A709" s="3">
        <v>44967</v>
      </c>
      <c r="B709" s="1">
        <v>240.66800000000001</v>
      </c>
      <c r="C709" s="4">
        <f t="shared" si="44"/>
        <v>-9.7515614842124121E-3</v>
      </c>
      <c r="E709" s="3">
        <v>44967</v>
      </c>
      <c r="F709" s="1">
        <v>90.46</v>
      </c>
      <c r="G709" s="4">
        <f t="shared" si="45"/>
        <v>3.1049013084940569E-3</v>
      </c>
      <c r="I709" s="3">
        <v>44967</v>
      </c>
      <c r="J709" s="1">
        <v>100.37</v>
      </c>
      <c r="K709" s="4">
        <f t="shared" si="46"/>
        <v>-6.9357184553432427E-3</v>
      </c>
      <c r="M709" s="5">
        <v>44967</v>
      </c>
      <c r="N709" s="2">
        <v>17893.45</v>
      </c>
      <c r="O709" s="4">
        <f t="shared" si="47"/>
        <v>1.2170078951638796E-3</v>
      </c>
    </row>
    <row r="710" spans="1:15" x14ac:dyDescent="0.25">
      <c r="A710" s="3">
        <v>44966</v>
      </c>
      <c r="B710" s="1">
        <v>243.03800000000001</v>
      </c>
      <c r="C710" s="4">
        <f t="shared" si="44"/>
        <v>-1.7866457471670261E-3</v>
      </c>
      <c r="E710" s="3">
        <v>44966</v>
      </c>
      <c r="F710" s="1">
        <v>90.18</v>
      </c>
      <c r="G710" s="4">
        <f t="shared" si="45"/>
        <v>2.334111370456915E-3</v>
      </c>
      <c r="I710" s="3">
        <v>44966</v>
      </c>
      <c r="J710" s="1">
        <v>101.071</v>
      </c>
      <c r="K710" s="4">
        <f t="shared" si="46"/>
        <v>1.3275607557188263E-3</v>
      </c>
      <c r="M710" s="5">
        <v>44966</v>
      </c>
      <c r="N710" s="2">
        <v>17871.7</v>
      </c>
      <c r="O710" s="4">
        <f t="shared" si="47"/>
        <v>8.475580509550662E-3</v>
      </c>
    </row>
    <row r="711" spans="1:15" x14ac:dyDescent="0.25">
      <c r="A711" s="3">
        <v>44965</v>
      </c>
      <c r="B711" s="1">
        <v>243.47300000000001</v>
      </c>
      <c r="C711" s="4">
        <f t="shared" si="44"/>
        <v>-1.1650947459970196E-3</v>
      </c>
      <c r="E711" s="3">
        <v>44965</v>
      </c>
      <c r="F711" s="1">
        <v>89.97</v>
      </c>
      <c r="G711" s="4">
        <f t="shared" si="45"/>
        <v>3.3456005352960894E-3</v>
      </c>
      <c r="I711" s="3">
        <v>44965</v>
      </c>
      <c r="J711" s="1">
        <v>100.937</v>
      </c>
      <c r="K711" s="4">
        <f t="shared" si="46"/>
        <v>1.3293255161057616E-3</v>
      </c>
      <c r="M711" s="5">
        <v>44965</v>
      </c>
      <c r="N711" s="2">
        <v>17721.5</v>
      </c>
      <c r="O711" s="4">
        <f t="shared" si="47"/>
        <v>-2.4261734010334601E-3</v>
      </c>
    </row>
    <row r="712" spans="1:15" x14ac:dyDescent="0.25">
      <c r="A712" s="3">
        <v>44964</v>
      </c>
      <c r="B712" s="1">
        <v>243.75700000000001</v>
      </c>
      <c r="C712" s="4">
        <f t="shared" si="44"/>
        <v>-2.989921795752748E-3</v>
      </c>
      <c r="E712" s="3">
        <v>44964</v>
      </c>
      <c r="F712" s="1">
        <v>89.67</v>
      </c>
      <c r="G712" s="4">
        <f t="shared" si="45"/>
        <v>-7.19663418954819E-3</v>
      </c>
      <c r="I712" s="3">
        <v>44964</v>
      </c>
      <c r="J712" s="1">
        <v>100.803</v>
      </c>
      <c r="K712" s="4">
        <f t="shared" si="46"/>
        <v>6.2891198227066347E-3</v>
      </c>
      <c r="M712" s="5">
        <v>44964</v>
      </c>
      <c r="N712" s="2">
        <v>17764.599999999999</v>
      </c>
      <c r="O712" s="4">
        <f t="shared" si="47"/>
        <v>-5.0100677437332486E-3</v>
      </c>
    </row>
    <row r="713" spans="1:15" x14ac:dyDescent="0.25">
      <c r="A713" s="3">
        <v>44963</v>
      </c>
      <c r="B713" s="1">
        <v>244.488</v>
      </c>
      <c r="C713" s="4">
        <f t="shared" si="44"/>
        <v>5.3952692699938964E-3</v>
      </c>
      <c r="E713" s="3">
        <v>44963</v>
      </c>
      <c r="F713" s="1">
        <v>90.32</v>
      </c>
      <c r="G713" s="4">
        <f t="shared" si="45"/>
        <v>3.3226270904851418E-4</v>
      </c>
      <c r="I713" s="3">
        <v>44963</v>
      </c>
      <c r="J713" s="1">
        <v>100.173</v>
      </c>
      <c r="K713" s="4">
        <f t="shared" si="46"/>
        <v>-4.1653411802130558E-3</v>
      </c>
      <c r="M713" s="5">
        <v>44963</v>
      </c>
      <c r="N713" s="2">
        <v>17854.05</v>
      </c>
      <c r="O713" s="4">
        <f t="shared" si="47"/>
        <v>1.3835574433289199E-2</v>
      </c>
    </row>
    <row r="714" spans="1:15" x14ac:dyDescent="0.25">
      <c r="A714" s="3">
        <v>44960</v>
      </c>
      <c r="B714" s="1">
        <v>243.17599999999999</v>
      </c>
      <c r="C714" s="4">
        <f t="shared" si="44"/>
        <v>6.6231744875318022E-3</v>
      </c>
      <c r="E714" s="3">
        <v>44960</v>
      </c>
      <c r="F714" s="1">
        <v>90.29</v>
      </c>
      <c r="G714" s="4">
        <f t="shared" si="45"/>
        <v>3.3237314424994224E-4</v>
      </c>
      <c r="I714" s="3">
        <v>44960</v>
      </c>
      <c r="J714" s="1">
        <v>100.592</v>
      </c>
      <c r="K714" s="4">
        <f t="shared" si="46"/>
        <v>-1.4988634446065907E-3</v>
      </c>
      <c r="M714" s="5">
        <v>44960</v>
      </c>
      <c r="N714" s="2">
        <v>17610.400000000001</v>
      </c>
      <c r="O714" s="4">
        <f t="shared" si="47"/>
        <v>-3.3491709382771351E-4</v>
      </c>
    </row>
    <row r="715" spans="1:15" x14ac:dyDescent="0.25">
      <c r="A715" s="3">
        <v>44959</v>
      </c>
      <c r="B715" s="1">
        <v>241.57599999999999</v>
      </c>
      <c r="C715" s="4">
        <f t="shared" si="44"/>
        <v>1.9701287012496849E-3</v>
      </c>
      <c r="E715" s="3">
        <v>44959</v>
      </c>
      <c r="F715" s="1">
        <v>90.26</v>
      </c>
      <c r="G715" s="4">
        <f t="shared" si="45"/>
        <v>4.674977738201358E-3</v>
      </c>
      <c r="I715" s="3">
        <v>44959</v>
      </c>
      <c r="J715" s="1">
        <v>100.74299999999999</v>
      </c>
      <c r="K715" s="4">
        <f t="shared" si="46"/>
        <v>1.0056145979546738E-2</v>
      </c>
      <c r="M715" s="5">
        <v>44959</v>
      </c>
      <c r="N715" s="2">
        <v>17616.3</v>
      </c>
      <c r="O715" s="4">
        <f t="shared" si="47"/>
        <v>-2.5959466995808533E-3</v>
      </c>
    </row>
    <row r="716" spans="1:15" x14ac:dyDescent="0.25">
      <c r="A716" s="3">
        <v>44958</v>
      </c>
      <c r="B716" s="1">
        <v>241.101</v>
      </c>
      <c r="C716" s="4">
        <f t="shared" si="44"/>
        <v>-4.2950181918799402E-3</v>
      </c>
      <c r="E716" s="3">
        <v>44958</v>
      </c>
      <c r="F716" s="1">
        <v>89.84</v>
      </c>
      <c r="G716" s="4">
        <f t="shared" si="45"/>
        <v>-3.2175746144457174E-3</v>
      </c>
      <c r="I716" s="3">
        <v>44958</v>
      </c>
      <c r="J716" s="1">
        <v>99.74</v>
      </c>
      <c r="K716" s="4">
        <f t="shared" si="46"/>
        <v>4.6738385914018021E-3</v>
      </c>
      <c r="M716" s="5">
        <v>44958</v>
      </c>
      <c r="N716" s="2">
        <v>17662.150000000001</v>
      </c>
      <c r="O716" s="4">
        <f t="shared" si="47"/>
        <v>7.4791984792299537E-4</v>
      </c>
    </row>
    <row r="717" spans="1:15" x14ac:dyDescent="0.25">
      <c r="A717" s="3">
        <v>44957</v>
      </c>
      <c r="B717" s="1">
        <v>242.14099999999999</v>
      </c>
      <c r="C717" s="4">
        <f t="shared" si="44"/>
        <v>1.8618814933115679E-3</v>
      </c>
      <c r="E717" s="3">
        <v>44957</v>
      </c>
      <c r="F717" s="1">
        <v>90.13</v>
      </c>
      <c r="G717" s="4">
        <f t="shared" si="45"/>
        <v>-8.868196430550368E-4</v>
      </c>
      <c r="I717" s="3">
        <v>44957</v>
      </c>
      <c r="J717" s="1">
        <v>99.275999999999996</v>
      </c>
      <c r="K717" s="4">
        <f t="shared" si="46"/>
        <v>-5.4896618047763912E-3</v>
      </c>
      <c r="M717" s="5">
        <v>44957</v>
      </c>
      <c r="N717" s="2">
        <v>17648.95</v>
      </c>
      <c r="O717" s="4">
        <f t="shared" si="47"/>
        <v>2.5334647402490695E-3</v>
      </c>
    </row>
    <row r="718" spans="1:15" x14ac:dyDescent="0.25">
      <c r="A718" s="3">
        <v>44956</v>
      </c>
      <c r="B718" s="1">
        <v>241.691</v>
      </c>
      <c r="C718" s="4">
        <f t="shared" si="44"/>
        <v>7.2873320497701677E-4</v>
      </c>
      <c r="E718" s="3">
        <v>44956</v>
      </c>
      <c r="F718" s="1">
        <v>90.21</v>
      </c>
      <c r="G718" s="4">
        <f t="shared" si="45"/>
        <v>1.0077258985555781E-2</v>
      </c>
      <c r="I718" s="3">
        <v>44956</v>
      </c>
      <c r="J718" s="1">
        <v>99.823999999999998</v>
      </c>
      <c r="K718" s="4">
        <f t="shared" si="46"/>
        <v>9.6694582675891372E-3</v>
      </c>
      <c r="M718" s="5">
        <v>44956</v>
      </c>
      <c r="N718" s="2">
        <v>17604.349999999999</v>
      </c>
      <c r="O718" s="4">
        <f t="shared" si="47"/>
        <v>-1.6074268036742945E-2</v>
      </c>
    </row>
    <row r="719" spans="1:15" x14ac:dyDescent="0.25">
      <c r="A719" s="3">
        <v>44953</v>
      </c>
      <c r="B719" s="1">
        <v>241.51499999999999</v>
      </c>
      <c r="C719" s="4">
        <f t="shared" si="44"/>
        <v>5.6630093064895526E-3</v>
      </c>
      <c r="E719" s="3">
        <v>44953</v>
      </c>
      <c r="F719" s="1">
        <v>89.31</v>
      </c>
      <c r="G719" s="4">
        <f t="shared" si="45"/>
        <v>3.9343525179857952E-3</v>
      </c>
      <c r="I719" s="3">
        <v>44953</v>
      </c>
      <c r="J719" s="1">
        <v>98.867999999999995</v>
      </c>
      <c r="K719" s="4">
        <f t="shared" si="46"/>
        <v>3.3388981636051085E-4</v>
      </c>
      <c r="M719" s="5">
        <v>44953</v>
      </c>
      <c r="N719" s="2">
        <v>17891.95</v>
      </c>
      <c r="O719" s="4">
        <f t="shared" si="47"/>
        <v>-1.2492893924926696E-2</v>
      </c>
    </row>
    <row r="720" spans="1:15" x14ac:dyDescent="0.25">
      <c r="A720" s="3">
        <v>44951</v>
      </c>
      <c r="B720" s="1">
        <v>240.155</v>
      </c>
      <c r="C720" s="4">
        <f t="shared" si="44"/>
        <v>-8.4457351117916968E-4</v>
      </c>
      <c r="E720" s="3">
        <v>44951</v>
      </c>
      <c r="F720" s="1">
        <v>88.96</v>
      </c>
      <c r="G720" s="4">
        <f t="shared" si="45"/>
        <v>-2.1312394840158344E-3</v>
      </c>
      <c r="I720" s="3">
        <v>44951</v>
      </c>
      <c r="J720" s="1">
        <v>98.834999999999994</v>
      </c>
      <c r="K720" s="4">
        <f t="shared" si="46"/>
        <v>-1.2735990410548403E-2</v>
      </c>
      <c r="M720" s="5">
        <v>44951</v>
      </c>
      <c r="N720" s="2">
        <v>18118.3</v>
      </c>
      <c r="O720" s="4">
        <f t="shared" si="47"/>
        <v>-1.3798013637988937E-5</v>
      </c>
    </row>
    <row r="721" spans="1:15" x14ac:dyDescent="0.25">
      <c r="A721" s="3">
        <v>44950</v>
      </c>
      <c r="B721" s="1">
        <v>240.358</v>
      </c>
      <c r="C721" s="4">
        <f t="shared" si="44"/>
        <v>5.3698762430842706E-4</v>
      </c>
      <c r="E721" s="3">
        <v>44950</v>
      </c>
      <c r="F721" s="1">
        <v>89.15</v>
      </c>
      <c r="G721" s="4">
        <f t="shared" si="45"/>
        <v>6.3212552206795003E-3</v>
      </c>
      <c r="I721" s="3">
        <v>44950</v>
      </c>
      <c r="J721" s="1">
        <v>100.11</v>
      </c>
      <c r="K721" s="4">
        <f t="shared" si="46"/>
        <v>-1.2303047643478005E-2</v>
      </c>
      <c r="M721" s="5">
        <v>44950</v>
      </c>
      <c r="N721" s="2">
        <v>18118.55</v>
      </c>
      <c r="O721" s="4">
        <f t="shared" si="47"/>
        <v>5.0422545367809768E-3</v>
      </c>
    </row>
    <row r="722" spans="1:15" x14ac:dyDescent="0.25">
      <c r="A722" s="3">
        <v>44949</v>
      </c>
      <c r="B722" s="1">
        <v>240.22900000000001</v>
      </c>
      <c r="C722" s="4">
        <f t="shared" si="44"/>
        <v>7.0847953584110002E-3</v>
      </c>
      <c r="E722" s="3">
        <v>44949</v>
      </c>
      <c r="F722" s="1">
        <v>88.59</v>
      </c>
      <c r="G722" s="4">
        <f t="shared" si="45"/>
        <v>3.0570652173913526E-3</v>
      </c>
      <c r="I722" s="3">
        <v>44949</v>
      </c>
      <c r="J722" s="1">
        <v>101.357</v>
      </c>
      <c r="K722" s="4">
        <f t="shared" si="46"/>
        <v>-3.4902469718420814E-3</v>
      </c>
      <c r="M722" s="5">
        <v>44949</v>
      </c>
      <c r="N722" s="2">
        <v>18027.650000000001</v>
      </c>
      <c r="O722" s="4">
        <f t="shared" si="47"/>
        <v>-4.4290183539181793E-3</v>
      </c>
    </row>
    <row r="723" spans="1:15" x14ac:dyDescent="0.25">
      <c r="A723" s="3">
        <v>44946</v>
      </c>
      <c r="B723" s="1">
        <v>238.53899999999999</v>
      </c>
      <c r="C723" s="4">
        <f t="shared" si="44"/>
        <v>-4.9024537409503299E-4</v>
      </c>
      <c r="E723" s="3">
        <v>44946</v>
      </c>
      <c r="F723" s="1">
        <v>88.32</v>
      </c>
      <c r="G723" s="4">
        <f t="shared" si="45"/>
        <v>-1.5165031222123204E-2</v>
      </c>
      <c r="I723" s="3">
        <v>44946</v>
      </c>
      <c r="J723" s="1">
        <v>101.712</v>
      </c>
      <c r="K723" s="4">
        <f t="shared" si="46"/>
        <v>4.3447349711667194E-3</v>
      </c>
      <c r="M723" s="5">
        <v>44946</v>
      </c>
      <c r="N723" s="2">
        <v>18107.849999999999</v>
      </c>
      <c r="O723" s="4">
        <f t="shared" si="47"/>
        <v>-3.1653670311885262E-3</v>
      </c>
    </row>
    <row r="724" spans="1:15" x14ac:dyDescent="0.25">
      <c r="A724" s="3">
        <v>44945</v>
      </c>
      <c r="B724" s="1">
        <v>238.65600000000001</v>
      </c>
      <c r="C724" s="4">
        <f t="shared" si="44"/>
        <v>-6.3452410691980932E-3</v>
      </c>
      <c r="E724" s="3">
        <v>44945</v>
      </c>
      <c r="F724" s="1">
        <v>89.68</v>
      </c>
      <c r="G724" s="4">
        <f t="shared" si="45"/>
        <v>-1.4180499065625907E-2</v>
      </c>
      <c r="I724" s="3">
        <v>44945</v>
      </c>
      <c r="J724" s="1">
        <v>101.27200000000001</v>
      </c>
      <c r="K724" s="4">
        <f t="shared" si="46"/>
        <v>-5.118230133702717E-3</v>
      </c>
      <c r="M724" s="5">
        <v>44945</v>
      </c>
      <c r="N724" s="2">
        <v>18165.349999999999</v>
      </c>
      <c r="O724" s="4">
        <f t="shared" si="47"/>
        <v>6.2066215041016726E-3</v>
      </c>
    </row>
    <row r="725" spans="1:15" x14ac:dyDescent="0.25">
      <c r="A725" s="3">
        <v>44944</v>
      </c>
      <c r="B725" s="1">
        <v>240.18</v>
      </c>
      <c r="C725" s="4">
        <f t="shared" si="44"/>
        <v>7.8638389297793765E-3</v>
      </c>
      <c r="E725" s="3">
        <v>44944</v>
      </c>
      <c r="F725" s="1">
        <v>90.97</v>
      </c>
      <c r="G725" s="4">
        <f t="shared" si="45"/>
        <v>-8.7863811092803168E-4</v>
      </c>
      <c r="I725" s="3">
        <v>44944</v>
      </c>
      <c r="J725" s="1">
        <v>101.79300000000001</v>
      </c>
      <c r="K725" s="4">
        <f t="shared" si="46"/>
        <v>-4.6150824823254499E-4</v>
      </c>
      <c r="M725" s="5">
        <v>44944</v>
      </c>
      <c r="N725" s="2">
        <v>18053.3</v>
      </c>
      <c r="O725" s="4">
        <f t="shared" si="47"/>
        <v>8.8545028318203212E-3</v>
      </c>
    </row>
    <row r="726" spans="1:15" x14ac:dyDescent="0.25">
      <c r="A726" s="3">
        <v>44943</v>
      </c>
      <c r="B726" s="1">
        <v>238.30600000000001</v>
      </c>
      <c r="C726" s="4">
        <f t="shared" si="44"/>
        <v>-2.4404639811795859E-3</v>
      </c>
      <c r="E726" s="3">
        <v>44943</v>
      </c>
      <c r="F726" s="1">
        <v>91.05</v>
      </c>
      <c r="G726" s="4">
        <f t="shared" si="45"/>
        <v>5.5218111540584758E-3</v>
      </c>
      <c r="I726" s="3">
        <v>44943</v>
      </c>
      <c r="J726" s="1">
        <v>101.84</v>
      </c>
      <c r="K726" s="4">
        <f t="shared" si="46"/>
        <v>3.8739440298876104E-3</v>
      </c>
      <c r="M726" s="5">
        <v>44943</v>
      </c>
      <c r="N726" s="2">
        <v>17894.849999999999</v>
      </c>
      <c r="O726" s="4">
        <f t="shared" si="47"/>
        <v>-3.4388469977613134E-3</v>
      </c>
    </row>
    <row r="727" spans="1:15" x14ac:dyDescent="0.25">
      <c r="A727" s="3">
        <v>44942</v>
      </c>
      <c r="B727" s="1">
        <v>238.88900000000001</v>
      </c>
      <c r="C727" s="4">
        <f t="shared" si="44"/>
        <v>-1.6723468010141906E-2</v>
      </c>
      <c r="E727" s="3">
        <v>44942</v>
      </c>
      <c r="F727" s="1">
        <v>90.55</v>
      </c>
      <c r="G727" s="4">
        <f t="shared" si="45"/>
        <v>-4.5074758135443815E-3</v>
      </c>
      <c r="I727" s="3">
        <v>44942</v>
      </c>
      <c r="J727" s="1">
        <v>101.447</v>
      </c>
      <c r="K727" s="4">
        <f t="shared" si="46"/>
        <v>4.1175480793023134E-3</v>
      </c>
      <c r="M727" s="5">
        <v>44942</v>
      </c>
      <c r="N727" s="2">
        <v>17956.599999999999</v>
      </c>
      <c r="O727" s="4">
        <f t="shared" si="47"/>
        <v>5.5100738036306662E-3</v>
      </c>
    </row>
    <row r="728" spans="1:15" x14ac:dyDescent="0.25">
      <c r="A728" s="3">
        <v>44939</v>
      </c>
      <c r="B728" s="1">
        <v>242.952</v>
      </c>
      <c r="C728" s="4">
        <f t="shared" si="44"/>
        <v>-1.1103874959296656E-2</v>
      </c>
      <c r="E728" s="3">
        <v>44939</v>
      </c>
      <c r="F728" s="1">
        <v>90.96</v>
      </c>
      <c r="G728" s="4">
        <f t="shared" si="45"/>
        <v>-1.3175230566535578E-3</v>
      </c>
      <c r="I728" s="3">
        <v>44939</v>
      </c>
      <c r="J728" s="1">
        <v>101.03100000000001</v>
      </c>
      <c r="K728" s="4">
        <f t="shared" si="46"/>
        <v>-2.379729836479938E-3</v>
      </c>
      <c r="M728" s="5">
        <v>44939</v>
      </c>
      <c r="N728" s="2">
        <v>17858.2</v>
      </c>
      <c r="O728" s="4">
        <f t="shared" si="47"/>
        <v>-2.0954754494096894E-3</v>
      </c>
    </row>
    <row r="729" spans="1:15" x14ac:dyDescent="0.25">
      <c r="A729" s="3">
        <v>44938</v>
      </c>
      <c r="B729" s="1">
        <v>245.68</v>
      </c>
      <c r="C729" s="4">
        <f t="shared" si="44"/>
        <v>-5.2676116786311011E-3</v>
      </c>
      <c r="E729" s="3">
        <v>44938</v>
      </c>
      <c r="F729" s="1">
        <v>91.08</v>
      </c>
      <c r="G729" s="4">
        <f t="shared" si="45"/>
        <v>3.9682539682539542E-3</v>
      </c>
      <c r="I729" s="3">
        <v>44938</v>
      </c>
      <c r="J729" s="1">
        <v>101.27200000000001</v>
      </c>
      <c r="K729" s="4">
        <f t="shared" si="46"/>
        <v>4.3537334007717199E-3</v>
      </c>
      <c r="M729" s="5">
        <v>44938</v>
      </c>
      <c r="N729" s="2">
        <v>17895.7</v>
      </c>
      <c r="O729" s="4">
        <f t="shared" si="47"/>
        <v>-1.0299121085846075E-3</v>
      </c>
    </row>
    <row r="730" spans="1:15" x14ac:dyDescent="0.25">
      <c r="A730" s="3">
        <v>44937</v>
      </c>
      <c r="B730" s="1">
        <v>246.98099999999999</v>
      </c>
      <c r="C730" s="4">
        <f t="shared" si="44"/>
        <v>5.6802912218123502E-3</v>
      </c>
      <c r="E730" s="3">
        <v>44937</v>
      </c>
      <c r="F730" s="1">
        <v>90.72</v>
      </c>
      <c r="G730" s="4">
        <f t="shared" si="45"/>
        <v>4.5399180600154132E-3</v>
      </c>
      <c r="I730" s="3">
        <v>44937</v>
      </c>
      <c r="J730" s="1">
        <v>100.833</v>
      </c>
      <c r="K730" s="4">
        <f t="shared" si="46"/>
        <v>9.9272333793298806E-4</v>
      </c>
      <c r="M730" s="5">
        <v>44937</v>
      </c>
      <c r="N730" s="2">
        <v>17914.150000000001</v>
      </c>
      <c r="O730" s="4">
        <f t="shared" si="47"/>
        <v>-1.0333569045146151E-2</v>
      </c>
    </row>
    <row r="731" spans="1:15" x14ac:dyDescent="0.25">
      <c r="A731" s="3">
        <v>44936</v>
      </c>
      <c r="B731" s="1">
        <v>245.58600000000001</v>
      </c>
      <c r="C731" s="4">
        <f t="shared" si="44"/>
        <v>-1.3581652569940594E-3</v>
      </c>
      <c r="E731" s="3">
        <v>44936</v>
      </c>
      <c r="F731" s="1">
        <v>90.31</v>
      </c>
      <c r="G731" s="4">
        <f t="shared" si="45"/>
        <v>-4.0802823114248765E-3</v>
      </c>
      <c r="I731" s="3">
        <v>44936</v>
      </c>
      <c r="J731" s="1">
        <v>100.733</v>
      </c>
      <c r="K731" s="4">
        <f t="shared" si="46"/>
        <v>-1.7639305923040638E-3</v>
      </c>
      <c r="M731" s="5">
        <v>44936</v>
      </c>
      <c r="N731" s="2">
        <v>18101.2</v>
      </c>
      <c r="O731" s="4">
        <f t="shared" si="47"/>
        <v>1.3536251116355702E-2</v>
      </c>
    </row>
    <row r="732" spans="1:15" x14ac:dyDescent="0.25">
      <c r="A732" s="3">
        <v>44935</v>
      </c>
      <c r="B732" s="1">
        <v>245.92</v>
      </c>
      <c r="C732" s="4">
        <f t="shared" si="44"/>
        <v>-1.6262806960487541E-4</v>
      </c>
      <c r="E732" s="3">
        <v>44935</v>
      </c>
      <c r="F732" s="1">
        <v>90.68</v>
      </c>
      <c r="G732" s="4">
        <f t="shared" si="45"/>
        <v>5.6559831429523477E-3</v>
      </c>
      <c r="I732" s="3">
        <v>44935</v>
      </c>
      <c r="J732" s="1">
        <v>100.911</v>
      </c>
      <c r="K732" s="4">
        <f t="shared" si="46"/>
        <v>-7.8946850974300764E-3</v>
      </c>
      <c r="M732" s="5">
        <v>44935</v>
      </c>
      <c r="N732" s="2">
        <v>17859.45</v>
      </c>
      <c r="O732" s="4">
        <f t="shared" si="47"/>
        <v>-7.3754387330030591E-3</v>
      </c>
    </row>
    <row r="733" spans="1:15" x14ac:dyDescent="0.25">
      <c r="A733" s="3">
        <v>44932</v>
      </c>
      <c r="B733" s="1">
        <v>245.96</v>
      </c>
      <c r="C733" s="4">
        <f t="shared" si="44"/>
        <v>5.1902407127386585E-3</v>
      </c>
      <c r="E733" s="3">
        <v>44932</v>
      </c>
      <c r="F733" s="1">
        <v>90.17</v>
      </c>
      <c r="G733" s="4">
        <f t="shared" si="45"/>
        <v>-6.6496730577414453E-4</v>
      </c>
      <c r="I733" s="3">
        <v>44932</v>
      </c>
      <c r="J733" s="1">
        <v>101.714</v>
      </c>
      <c r="K733" s="4">
        <f t="shared" si="46"/>
        <v>1.1888299724430063E-2</v>
      </c>
      <c r="M733" s="5">
        <v>44932</v>
      </c>
      <c r="N733" s="2">
        <v>17992.150000000001</v>
      </c>
      <c r="O733" s="4">
        <f t="shared" si="47"/>
        <v>-2.8155041165662809E-3</v>
      </c>
    </row>
    <row r="734" spans="1:15" x14ac:dyDescent="0.25">
      <c r="A734" s="3">
        <v>44931</v>
      </c>
      <c r="B734" s="1">
        <v>244.69</v>
      </c>
      <c r="C734" s="4">
        <f t="shared" si="44"/>
        <v>1.8096361075627954E-3</v>
      </c>
      <c r="E734" s="3">
        <v>44931</v>
      </c>
      <c r="F734" s="1">
        <v>90.23</v>
      </c>
      <c r="G734" s="4">
        <f t="shared" si="45"/>
        <v>-9.9645704162965032E-4</v>
      </c>
      <c r="I734" s="3">
        <v>44931</v>
      </c>
      <c r="J734" s="1">
        <v>100.51900000000001</v>
      </c>
      <c r="K734" s="4">
        <f t="shared" si="46"/>
        <v>-6.7783212291882E-3</v>
      </c>
      <c r="M734" s="5">
        <v>44931</v>
      </c>
      <c r="N734" s="2">
        <v>18042.95</v>
      </c>
      <c r="O734" s="4">
        <f t="shared" si="47"/>
        <v>-1.0398984234240349E-2</v>
      </c>
    </row>
    <row r="735" spans="1:15" x14ac:dyDescent="0.25">
      <c r="A735" s="3">
        <v>44930</v>
      </c>
      <c r="B735" s="1">
        <v>244.24799999999999</v>
      </c>
      <c r="C735" s="4">
        <f t="shared" si="44"/>
        <v>9.8357430903894816E-4</v>
      </c>
      <c r="E735" s="3">
        <v>44930</v>
      </c>
      <c r="F735" s="1">
        <v>90.32</v>
      </c>
      <c r="G735" s="4">
        <f t="shared" si="45"/>
        <v>-9.2145677928916481E-3</v>
      </c>
      <c r="I735" s="3">
        <v>44930</v>
      </c>
      <c r="J735" s="1">
        <v>101.205</v>
      </c>
      <c r="K735" s="4">
        <f t="shared" si="46"/>
        <v>3.1321551407983428E-3</v>
      </c>
      <c r="M735" s="5">
        <v>44930</v>
      </c>
      <c r="N735" s="2">
        <v>18232.55</v>
      </c>
      <c r="O735" s="4">
        <f t="shared" si="47"/>
        <v>1.9288416783669327E-3</v>
      </c>
    </row>
    <row r="736" spans="1:15" x14ac:dyDescent="0.25">
      <c r="A736" s="3">
        <v>44929</v>
      </c>
      <c r="B736" s="1">
        <v>244.00800000000001</v>
      </c>
      <c r="C736" s="4">
        <f t="shared" si="44"/>
        <v>4.5491410151377032E-3</v>
      </c>
      <c r="E736" s="3">
        <v>44929</v>
      </c>
      <c r="F736" s="1">
        <v>91.16</v>
      </c>
      <c r="G736" s="4">
        <f t="shared" si="45"/>
        <v>1.2101698678805395E-2</v>
      </c>
      <c r="I736" s="3">
        <v>44929</v>
      </c>
      <c r="J736" s="1">
        <v>100.889</v>
      </c>
      <c r="K736" s="4">
        <f t="shared" si="46"/>
        <v>-9.3381775333857275E-3</v>
      </c>
      <c r="M736" s="5">
        <v>44929</v>
      </c>
      <c r="N736" s="2">
        <v>18197.45</v>
      </c>
      <c r="O736" s="4">
        <f t="shared" si="47"/>
        <v>5.0896698756719427E-3</v>
      </c>
    </row>
    <row r="737" spans="1:15" x14ac:dyDescent="0.25">
      <c r="A737" s="3">
        <v>44928</v>
      </c>
      <c r="B737" s="1">
        <v>242.90299999999999</v>
      </c>
      <c r="C737" s="4">
        <f t="shared" si="44"/>
        <v>-2.648348580156723E-3</v>
      </c>
      <c r="E737" s="3">
        <v>44928</v>
      </c>
      <c r="F737" s="1">
        <v>90.07</v>
      </c>
      <c r="G737" s="4">
        <f t="shared" si="45"/>
        <v>-7.4931129476585312E-3</v>
      </c>
      <c r="I737" s="3">
        <v>44928</v>
      </c>
      <c r="J737" s="1">
        <v>101.84</v>
      </c>
      <c r="K737" s="4">
        <f t="shared" si="46"/>
        <v>2.2339661263814925E-3</v>
      </c>
      <c r="M737" s="5">
        <v>44928</v>
      </c>
      <c r="N737" s="2">
        <v>18105.3</v>
      </c>
      <c r="O737" s="4">
        <f t="shared" si="47"/>
        <v>-4.7111208839536456E-3</v>
      </c>
    </row>
    <row r="738" spans="1:15" x14ac:dyDescent="0.25">
      <c r="A738" s="3">
        <v>44925</v>
      </c>
      <c r="B738" s="1">
        <v>243.548</v>
      </c>
      <c r="C738" s="4">
        <f t="shared" si="44"/>
        <v>1.0810366442650654E-3</v>
      </c>
      <c r="E738" s="3">
        <v>44925</v>
      </c>
      <c r="F738" s="1">
        <v>90.75</v>
      </c>
      <c r="G738" s="4">
        <f t="shared" si="45"/>
        <v>1.1020498126512734E-4</v>
      </c>
      <c r="I738" s="3">
        <v>44925</v>
      </c>
      <c r="J738" s="1">
        <v>101.613</v>
      </c>
      <c r="K738" s="4">
        <f t="shared" si="46"/>
        <v>5.9796651783503574E-3</v>
      </c>
      <c r="M738" s="5">
        <v>44925</v>
      </c>
      <c r="N738" s="2">
        <v>18191</v>
      </c>
      <c r="O738" s="4">
        <f t="shared" si="47"/>
        <v>3.7798317009243299E-3</v>
      </c>
    </row>
    <row r="739" spans="1:15" x14ac:dyDescent="0.25">
      <c r="A739" s="3">
        <v>44924</v>
      </c>
      <c r="B739" s="1">
        <v>243.285</v>
      </c>
      <c r="C739" s="4">
        <f t="shared" si="44"/>
        <v>-6.7973055725657483E-3</v>
      </c>
      <c r="E739" s="3">
        <v>44924</v>
      </c>
      <c r="F739" s="1">
        <v>90.74</v>
      </c>
      <c r="G739" s="4">
        <f t="shared" si="45"/>
        <v>-1.0253054101221792E-2</v>
      </c>
      <c r="I739" s="3">
        <v>44924</v>
      </c>
      <c r="J739" s="1">
        <v>101.009</v>
      </c>
      <c r="K739" s="4">
        <f t="shared" si="46"/>
        <v>-2.9710788668443344E-3</v>
      </c>
      <c r="M739" s="5">
        <v>44924</v>
      </c>
      <c r="N739" s="2">
        <v>18122.5</v>
      </c>
      <c r="O739" s="4">
        <f t="shared" si="47"/>
        <v>-5.4047197542506087E-4</v>
      </c>
    </row>
    <row r="740" spans="1:15" x14ac:dyDescent="0.25">
      <c r="A740" s="3">
        <v>44923</v>
      </c>
      <c r="B740" s="1">
        <v>244.95</v>
      </c>
      <c r="C740" s="4">
        <f t="shared" si="44"/>
        <v>8.8550247116967462E-3</v>
      </c>
      <c r="E740" s="3">
        <v>44923</v>
      </c>
      <c r="F740" s="1">
        <v>91.68</v>
      </c>
      <c r="G740" s="4">
        <f t="shared" si="45"/>
        <v>2.1862702229995534E-3</v>
      </c>
      <c r="I740" s="3">
        <v>44923</v>
      </c>
      <c r="J740" s="1">
        <v>101.31</v>
      </c>
      <c r="K740" s="4">
        <f t="shared" si="46"/>
        <v>4.3222237643001371E-3</v>
      </c>
      <c r="M740" s="5">
        <v>44923</v>
      </c>
      <c r="N740" s="2">
        <v>18132.3</v>
      </c>
      <c r="O740" s="4">
        <f t="shared" si="47"/>
        <v>6.5335894219133994E-3</v>
      </c>
    </row>
    <row r="741" spans="1:15" x14ac:dyDescent="0.25">
      <c r="A741" s="3">
        <v>44922</v>
      </c>
      <c r="B741" s="1">
        <v>242.8</v>
      </c>
      <c r="C741" s="4">
        <f t="shared" si="44"/>
        <v>-6.5629040441236297E-3</v>
      </c>
      <c r="E741" s="3">
        <v>44922</v>
      </c>
      <c r="F741" s="1">
        <v>91.48</v>
      </c>
      <c r="G741" s="4">
        <f t="shared" si="45"/>
        <v>4.833040421792667E-3</v>
      </c>
      <c r="I741" s="3">
        <v>44922</v>
      </c>
      <c r="J741" s="1">
        <v>100.874</v>
      </c>
      <c r="K741" s="4">
        <f t="shared" si="46"/>
        <v>-4.9564329543394514E-5</v>
      </c>
      <c r="M741" s="5">
        <v>44922</v>
      </c>
      <c r="N741" s="2">
        <v>18014.599999999999</v>
      </c>
      <c r="O741" s="4">
        <f t="shared" si="47"/>
        <v>1.1669699216029894E-2</v>
      </c>
    </row>
    <row r="742" spans="1:15" x14ac:dyDescent="0.25">
      <c r="A742" s="3">
        <v>44921</v>
      </c>
      <c r="B742" s="1">
        <v>244.404</v>
      </c>
      <c r="C742" s="4">
        <f t="shared" si="44"/>
        <v>9.8207709305242474E-5</v>
      </c>
      <c r="E742" s="3">
        <v>44921</v>
      </c>
      <c r="F742" s="1">
        <v>91.04</v>
      </c>
      <c r="G742" s="4">
        <f t="shared" si="45"/>
        <v>-2.5199956173987959E-3</v>
      </c>
      <c r="I742" s="3">
        <v>44921</v>
      </c>
      <c r="J742" s="1">
        <v>100.879</v>
      </c>
      <c r="K742" s="4">
        <f t="shared" si="46"/>
        <v>6.5855775850887088E-3</v>
      </c>
      <c r="M742" s="5">
        <v>44921</v>
      </c>
      <c r="N742" s="2">
        <v>17806.8</v>
      </c>
      <c r="O742" s="4">
        <f t="shared" si="47"/>
        <v>-1.7683224519855267E-2</v>
      </c>
    </row>
    <row r="743" spans="1:15" x14ac:dyDescent="0.25">
      <c r="A743" s="3">
        <v>44918</v>
      </c>
      <c r="B743" s="1">
        <v>244.38</v>
      </c>
      <c r="C743" s="4">
        <f t="shared" si="44"/>
        <v>-7.4246165843514511E-3</v>
      </c>
      <c r="E743" s="3">
        <v>44918</v>
      </c>
      <c r="F743" s="1">
        <v>91.27</v>
      </c>
      <c r="G743" s="4">
        <f t="shared" si="45"/>
        <v>3.518416712479322E-3</v>
      </c>
      <c r="I743" s="3">
        <v>44918</v>
      </c>
      <c r="J743" s="1">
        <v>100.21899999999999</v>
      </c>
      <c r="K743" s="4">
        <f t="shared" si="46"/>
        <v>1.7255554766085535E-2</v>
      </c>
      <c r="M743" s="5">
        <v>44918</v>
      </c>
      <c r="N743" s="2">
        <v>18127.349999999999</v>
      </c>
      <c r="O743" s="4">
        <f t="shared" si="47"/>
        <v>-3.9425026512299732E-3</v>
      </c>
    </row>
    <row r="744" spans="1:15" x14ac:dyDescent="0.25">
      <c r="A744" s="3">
        <v>44917</v>
      </c>
      <c r="B744" s="1">
        <v>246.208</v>
      </c>
      <c r="C744" s="4">
        <f t="shared" si="44"/>
        <v>1.5865396350145389E-3</v>
      </c>
      <c r="E744" s="3">
        <v>44917</v>
      </c>
      <c r="F744" s="1">
        <v>90.95</v>
      </c>
      <c r="G744" s="4">
        <f t="shared" si="45"/>
        <v>9.9053488883993346E-4</v>
      </c>
      <c r="I744" s="3">
        <v>44917</v>
      </c>
      <c r="J744" s="1">
        <v>98.519000000000005</v>
      </c>
      <c r="K744" s="4">
        <f t="shared" si="46"/>
        <v>-2.1084846136266489E-2</v>
      </c>
      <c r="M744" s="5">
        <v>44917</v>
      </c>
      <c r="N744" s="2">
        <v>18199.099999999999</v>
      </c>
      <c r="O744" s="4">
        <f t="shared" si="47"/>
        <v>-1.0127656334136592E-2</v>
      </c>
    </row>
    <row r="745" spans="1:15" x14ac:dyDescent="0.25">
      <c r="A745" s="3">
        <v>44916</v>
      </c>
      <c r="B745" s="1">
        <v>245.81800000000001</v>
      </c>
      <c r="C745" s="4">
        <f t="shared" si="44"/>
        <v>6.8524852034652639E-3</v>
      </c>
      <c r="E745" s="3">
        <v>44916</v>
      </c>
      <c r="F745" s="1">
        <v>90.86</v>
      </c>
      <c r="G745" s="4">
        <f t="shared" si="45"/>
        <v>4.8661800486617945E-3</v>
      </c>
      <c r="I745" s="3">
        <v>44916</v>
      </c>
      <c r="J745" s="1">
        <v>100.64100000000001</v>
      </c>
      <c r="K745" s="4">
        <f t="shared" si="46"/>
        <v>-4.6877317905353877E-3</v>
      </c>
      <c r="M745" s="5">
        <v>44916</v>
      </c>
      <c r="N745" s="2">
        <v>18385.3</v>
      </c>
      <c r="O745" s="4">
        <f t="shared" si="47"/>
        <v>-1.9082052827157359E-3</v>
      </c>
    </row>
    <row r="746" spans="1:15" x14ac:dyDescent="0.25">
      <c r="A746" s="3">
        <v>44915</v>
      </c>
      <c r="B746" s="1">
        <v>244.14500000000001</v>
      </c>
      <c r="C746" s="4">
        <f t="shared" si="44"/>
        <v>1.9370221567429624E-3</v>
      </c>
      <c r="E746" s="3">
        <v>44915</v>
      </c>
      <c r="F746" s="1">
        <v>90.42</v>
      </c>
      <c r="G746" s="4">
        <f t="shared" si="45"/>
        <v>1.6411870503597159E-2</v>
      </c>
      <c r="I746" s="3">
        <v>44915</v>
      </c>
      <c r="J746" s="1">
        <v>101.11499999999999</v>
      </c>
      <c r="K746" s="4">
        <f t="shared" si="46"/>
        <v>-1.1554591043725693E-2</v>
      </c>
      <c r="M746" s="5">
        <v>44915</v>
      </c>
      <c r="N746" s="2">
        <v>18420.45</v>
      </c>
      <c r="O746" s="4">
        <f t="shared" si="47"/>
        <v>8.2899994526246523E-3</v>
      </c>
    </row>
    <row r="747" spans="1:15" x14ac:dyDescent="0.25">
      <c r="A747" s="3">
        <v>44914</v>
      </c>
      <c r="B747" s="1">
        <v>243.673</v>
      </c>
      <c r="C747" s="4">
        <f t="shared" si="44"/>
        <v>2.068511740757506E-3</v>
      </c>
      <c r="E747" s="3">
        <v>44914</v>
      </c>
      <c r="F747" s="1">
        <v>88.96</v>
      </c>
      <c r="G747" s="4">
        <f t="shared" si="45"/>
        <v>-2.080352228948823E-2</v>
      </c>
      <c r="I747" s="3">
        <v>44914</v>
      </c>
      <c r="J747" s="1">
        <v>102.297</v>
      </c>
      <c r="K747" s="4">
        <f t="shared" si="46"/>
        <v>-2.3698069046226289E-3</v>
      </c>
      <c r="M747" s="5">
        <v>44914</v>
      </c>
      <c r="N747" s="2">
        <v>18269</v>
      </c>
      <c r="O747" s="4">
        <f t="shared" si="47"/>
        <v>-7.9229319735649728E-3</v>
      </c>
    </row>
    <row r="748" spans="1:15" x14ac:dyDescent="0.25">
      <c r="A748" s="3">
        <v>44911</v>
      </c>
      <c r="B748" s="1">
        <v>243.17</v>
      </c>
      <c r="C748" s="4">
        <f t="shared" si="44"/>
        <v>5.7194349692002433E-4</v>
      </c>
      <c r="E748" s="3">
        <v>44911</v>
      </c>
      <c r="F748" s="1">
        <v>90.85</v>
      </c>
      <c r="G748" s="4">
        <f t="shared" si="45"/>
        <v>-5.5823117338004158E-3</v>
      </c>
      <c r="I748" s="3">
        <v>44911</v>
      </c>
      <c r="J748" s="1">
        <v>102.54</v>
      </c>
      <c r="K748" s="4">
        <f t="shared" si="46"/>
        <v>7.3681108163867748E-3</v>
      </c>
      <c r="M748" s="5">
        <v>44911</v>
      </c>
      <c r="N748" s="2">
        <v>18414.900000000001</v>
      </c>
      <c r="O748" s="4">
        <f t="shared" si="47"/>
        <v>-1.3150913972444056E-2</v>
      </c>
    </row>
    <row r="749" spans="1:15" x14ac:dyDescent="0.25">
      <c r="A749" s="3">
        <v>44910</v>
      </c>
      <c r="B749" s="1">
        <v>243.03100000000001</v>
      </c>
      <c r="C749" s="4">
        <f t="shared" si="44"/>
        <v>7.286351974734151E-3</v>
      </c>
      <c r="E749" s="3">
        <v>44910</v>
      </c>
      <c r="F749" s="1">
        <v>91.36</v>
      </c>
      <c r="G749" s="4">
        <f t="shared" si="45"/>
        <v>-1.1469378922311257E-2</v>
      </c>
      <c r="I749" s="3">
        <v>44910</v>
      </c>
      <c r="J749" s="1">
        <v>101.79</v>
      </c>
      <c r="K749" s="4">
        <f t="shared" si="46"/>
        <v>-1.0614101592115177E-2</v>
      </c>
      <c r="M749" s="5">
        <v>44910</v>
      </c>
      <c r="N749" s="2">
        <v>18660.3</v>
      </c>
      <c r="O749" s="4">
        <f t="shared" si="47"/>
        <v>2.8106190885639482E-3</v>
      </c>
    </row>
    <row r="750" spans="1:15" x14ac:dyDescent="0.25">
      <c r="A750" s="3">
        <v>44909</v>
      </c>
      <c r="B750" s="1">
        <v>241.273</v>
      </c>
      <c r="C750" s="4">
        <f t="shared" si="44"/>
        <v>1.8368992195710865E-2</v>
      </c>
      <c r="E750" s="3">
        <v>44909</v>
      </c>
      <c r="F750" s="1">
        <v>92.42</v>
      </c>
      <c r="G750" s="4">
        <f t="shared" si="45"/>
        <v>-2.5901143967190787E-3</v>
      </c>
      <c r="I750" s="3">
        <v>44909</v>
      </c>
      <c r="J750" s="1">
        <v>102.88200000000001</v>
      </c>
      <c r="K750" s="4">
        <f t="shared" si="46"/>
        <v>-1.0388411150227927E-2</v>
      </c>
      <c r="M750" s="5">
        <v>44909</v>
      </c>
      <c r="N750" s="2">
        <v>18608</v>
      </c>
      <c r="O750" s="4">
        <f t="shared" si="47"/>
        <v>5.9928151093546767E-3</v>
      </c>
    </row>
    <row r="751" spans="1:15" x14ac:dyDescent="0.25">
      <c r="A751" s="3">
        <v>44908</v>
      </c>
      <c r="B751" s="1">
        <v>236.92099999999999</v>
      </c>
      <c r="C751" s="4">
        <f t="shared" si="44"/>
        <v>-2.4566878561312233E-2</v>
      </c>
      <c r="E751" s="3">
        <v>44908</v>
      </c>
      <c r="F751" s="1">
        <v>92.66</v>
      </c>
      <c r="G751" s="4">
        <f t="shared" si="45"/>
        <v>4.4444444444444731E-3</v>
      </c>
      <c r="I751" s="3">
        <v>44908</v>
      </c>
      <c r="J751" s="1">
        <v>103.962</v>
      </c>
      <c r="K751" s="4">
        <f t="shared" si="46"/>
        <v>3.4651506230516382E-3</v>
      </c>
      <c r="M751" s="5">
        <v>44908</v>
      </c>
      <c r="N751" s="2">
        <v>18497.150000000001</v>
      </c>
      <c r="O751" s="4">
        <f t="shared" si="47"/>
        <v>2.9735194576385737E-5</v>
      </c>
    </row>
    <row r="752" spans="1:15" x14ac:dyDescent="0.25">
      <c r="A752" s="3">
        <v>44907</v>
      </c>
      <c r="B752" s="1">
        <v>242.88800000000001</v>
      </c>
      <c r="C752" s="4">
        <f t="shared" si="44"/>
        <v>-8.037377070604701E-3</v>
      </c>
      <c r="E752" s="3">
        <v>44907</v>
      </c>
      <c r="F752" s="1">
        <v>92.25</v>
      </c>
      <c r="G752" s="4">
        <f t="shared" si="45"/>
        <v>-8.2777897226402608E-3</v>
      </c>
      <c r="I752" s="3">
        <v>44907</v>
      </c>
      <c r="J752" s="1">
        <v>103.60299999999999</v>
      </c>
      <c r="K752" s="4">
        <f t="shared" si="46"/>
        <v>4.7033495606974007E-3</v>
      </c>
      <c r="M752" s="5">
        <v>44907</v>
      </c>
      <c r="N752" s="2">
        <v>18496.599999999999</v>
      </c>
      <c r="O752" s="4">
        <f t="shared" si="47"/>
        <v>-6.058782278800745E-3</v>
      </c>
    </row>
    <row r="753" spans="1:15" x14ac:dyDescent="0.25">
      <c r="A753" s="3">
        <v>44904</v>
      </c>
      <c r="B753" s="1">
        <v>244.85599999999999</v>
      </c>
      <c r="C753" s="4">
        <f t="shared" si="44"/>
        <v>-1.178084956109382E-2</v>
      </c>
      <c r="E753" s="3">
        <v>44904</v>
      </c>
      <c r="F753" s="1">
        <v>93.02</v>
      </c>
      <c r="G753" s="4">
        <f t="shared" si="45"/>
        <v>-1.1372090551599601E-2</v>
      </c>
      <c r="I753" s="3">
        <v>44904</v>
      </c>
      <c r="J753" s="1">
        <v>103.11799999999999</v>
      </c>
      <c r="K753" s="4">
        <f t="shared" si="46"/>
        <v>1.1747914987814134E-3</v>
      </c>
      <c r="M753" s="5">
        <v>44904</v>
      </c>
      <c r="N753" s="2">
        <v>18609.349999999999</v>
      </c>
      <c r="O753" s="4">
        <f t="shared" si="47"/>
        <v>2.6319334069664357E-3</v>
      </c>
    </row>
    <row r="754" spans="1:15" x14ac:dyDescent="0.25">
      <c r="A754" s="3">
        <v>44903</v>
      </c>
      <c r="B754" s="1">
        <v>247.77500000000001</v>
      </c>
      <c r="C754" s="4">
        <f t="shared" si="44"/>
        <v>-2.8813920826106232E-3</v>
      </c>
      <c r="E754" s="3">
        <v>44903</v>
      </c>
      <c r="F754" s="1">
        <v>94.09</v>
      </c>
      <c r="G754" s="4">
        <f t="shared" si="45"/>
        <v>3.4126053108671783E-3</v>
      </c>
      <c r="I754" s="3">
        <v>44903</v>
      </c>
      <c r="J754" s="1">
        <v>102.997</v>
      </c>
      <c r="K754" s="4">
        <f t="shared" si="46"/>
        <v>-4.3596782924754107E-3</v>
      </c>
      <c r="M754" s="5">
        <v>44903</v>
      </c>
      <c r="N754" s="2">
        <v>18560.5</v>
      </c>
      <c r="O754" s="4">
        <f t="shared" si="47"/>
        <v>-4.4119027503989328E-3</v>
      </c>
    </row>
    <row r="755" spans="1:15" x14ac:dyDescent="0.25">
      <c r="A755" s="3">
        <v>44902</v>
      </c>
      <c r="B755" s="1">
        <v>248.49100000000001</v>
      </c>
      <c r="C755" s="4">
        <f t="shared" si="44"/>
        <v>4.905410105225716E-3</v>
      </c>
      <c r="E755" s="3">
        <v>44902</v>
      </c>
      <c r="F755" s="1">
        <v>93.77</v>
      </c>
      <c r="G755" s="4">
        <f t="shared" si="45"/>
        <v>3.4242910647404035E-3</v>
      </c>
      <c r="I755" s="3">
        <v>44902</v>
      </c>
      <c r="J755" s="1">
        <v>103.44799999999999</v>
      </c>
      <c r="K755" s="4">
        <f t="shared" si="46"/>
        <v>7.1264457338682252E-3</v>
      </c>
      <c r="M755" s="5">
        <v>44902</v>
      </c>
      <c r="N755" s="2">
        <v>18642.75</v>
      </c>
      <c r="O755" s="4">
        <f t="shared" si="47"/>
        <v>-3.1174720136034617E-3</v>
      </c>
    </row>
    <row r="756" spans="1:15" x14ac:dyDescent="0.25">
      <c r="A756" s="3">
        <v>44901</v>
      </c>
      <c r="B756" s="1">
        <v>247.27799999999999</v>
      </c>
      <c r="C756" s="4">
        <f t="shared" si="44"/>
        <v>-9.5211391720574357E-3</v>
      </c>
      <c r="E756" s="3">
        <v>44901</v>
      </c>
      <c r="F756" s="1">
        <v>93.45</v>
      </c>
      <c r="G756" s="4">
        <f t="shared" si="45"/>
        <v>-3.2092426187424472E-4</v>
      </c>
      <c r="I756" s="3">
        <v>44901</v>
      </c>
      <c r="J756" s="1">
        <v>102.71599999999999</v>
      </c>
      <c r="K756" s="4">
        <f t="shared" si="46"/>
        <v>-1.7008290326657738E-3</v>
      </c>
      <c r="M756" s="5">
        <v>44901</v>
      </c>
      <c r="N756" s="2">
        <v>18701.05</v>
      </c>
      <c r="O756" s="4">
        <f t="shared" si="47"/>
        <v>2.6476109990847263E-4</v>
      </c>
    </row>
    <row r="757" spans="1:15" x14ac:dyDescent="0.25">
      <c r="A757" s="3">
        <v>44900</v>
      </c>
      <c r="B757" s="1">
        <v>249.655</v>
      </c>
      <c r="C757" s="4">
        <f t="shared" si="44"/>
        <v>-7.856711388058768E-3</v>
      </c>
      <c r="E757" s="3">
        <v>44900</v>
      </c>
      <c r="F757" s="1">
        <v>93.48</v>
      </c>
      <c r="G757" s="4">
        <f t="shared" si="45"/>
        <v>-5.4261091605488643E-3</v>
      </c>
      <c r="I757" s="3">
        <v>44900</v>
      </c>
      <c r="J757" s="1">
        <v>102.89100000000001</v>
      </c>
      <c r="K757" s="4">
        <f t="shared" si="46"/>
        <v>-4.7686295751759866E-3</v>
      </c>
      <c r="M757" s="5">
        <v>44900</v>
      </c>
      <c r="N757" s="2">
        <v>18696.099999999999</v>
      </c>
      <c r="O757" s="4">
        <f t="shared" si="47"/>
        <v>-6.18737541528247E-3</v>
      </c>
    </row>
    <row r="758" spans="1:15" x14ac:dyDescent="0.25">
      <c r="A758" s="3">
        <v>44897</v>
      </c>
      <c r="B758" s="1">
        <v>251.63200000000001</v>
      </c>
      <c r="C758" s="4">
        <f t="shared" si="44"/>
        <v>5.0887129630370342E-3</v>
      </c>
      <c r="E758" s="3">
        <v>44897</v>
      </c>
      <c r="F758" s="1">
        <v>93.99</v>
      </c>
      <c r="G758" s="4">
        <f t="shared" si="45"/>
        <v>6.4246707356248045E-3</v>
      </c>
      <c r="I758" s="3">
        <v>44897</v>
      </c>
      <c r="J758" s="1">
        <v>103.384</v>
      </c>
      <c r="K758" s="4">
        <f t="shared" si="46"/>
        <v>6.0006581366978118E-4</v>
      </c>
      <c r="M758" s="5">
        <v>44897</v>
      </c>
      <c r="N758" s="2">
        <v>18812.5</v>
      </c>
      <c r="O758" s="4">
        <f t="shared" si="47"/>
        <v>2.8867144498316843E-3</v>
      </c>
    </row>
    <row r="759" spans="1:15" x14ac:dyDescent="0.25">
      <c r="A759" s="3">
        <v>44896</v>
      </c>
      <c r="B759" s="1">
        <v>250.358</v>
      </c>
      <c r="C759" s="4">
        <f t="shared" si="44"/>
        <v>5.7850376429184891E-3</v>
      </c>
      <c r="E759" s="3">
        <v>44896</v>
      </c>
      <c r="F759" s="1">
        <v>93.39</v>
      </c>
      <c r="G759" s="4">
        <f t="shared" si="45"/>
        <v>-4.1586692258477331E-3</v>
      </c>
      <c r="I759" s="3">
        <v>44896</v>
      </c>
      <c r="J759" s="1">
        <v>103.322</v>
      </c>
      <c r="K759" s="4">
        <f t="shared" si="46"/>
        <v>-2.307818580353671E-3</v>
      </c>
      <c r="M759" s="5">
        <v>44896</v>
      </c>
      <c r="N759" s="2">
        <v>18758.349999999999</v>
      </c>
      <c r="O759" s="4">
        <f t="shared" si="47"/>
        <v>7.5356978845797506E-3</v>
      </c>
    </row>
    <row r="760" spans="1:15" x14ac:dyDescent="0.25">
      <c r="A760" s="3">
        <v>44895</v>
      </c>
      <c r="B760" s="1">
        <v>248.91800000000001</v>
      </c>
      <c r="C760" s="4">
        <f t="shared" si="44"/>
        <v>2.157966358270702E-3</v>
      </c>
      <c r="E760" s="3">
        <v>44895</v>
      </c>
      <c r="F760" s="1">
        <v>93.78</v>
      </c>
      <c r="G760" s="4">
        <f t="shared" si="45"/>
        <v>-4.7755491881567025E-3</v>
      </c>
      <c r="I760" s="3">
        <v>44895</v>
      </c>
      <c r="J760" s="1">
        <v>103.56100000000001</v>
      </c>
      <c r="K760" s="4">
        <f t="shared" si="46"/>
        <v>5.6614034065529673E-3</v>
      </c>
      <c r="M760" s="5">
        <v>44895</v>
      </c>
      <c r="N760" s="2">
        <v>18618.05</v>
      </c>
      <c r="O760" s="4">
        <f t="shared" si="47"/>
        <v>2.9790844567749719E-3</v>
      </c>
    </row>
    <row r="761" spans="1:15" x14ac:dyDescent="0.25">
      <c r="A761" s="3">
        <v>44894</v>
      </c>
      <c r="B761" s="1">
        <v>248.38200000000001</v>
      </c>
      <c r="C761" s="4">
        <f t="shared" si="44"/>
        <v>-7.2185716341310879E-3</v>
      </c>
      <c r="E761" s="3">
        <v>44894</v>
      </c>
      <c r="F761" s="1">
        <v>94.23</v>
      </c>
      <c r="G761" s="4">
        <f t="shared" si="45"/>
        <v>9.5602294455066072E-4</v>
      </c>
      <c r="I761" s="3">
        <v>44894</v>
      </c>
      <c r="J761" s="1">
        <v>102.97799999999999</v>
      </c>
      <c r="K761" s="4">
        <f t="shared" si="46"/>
        <v>8.5994123408423828E-3</v>
      </c>
      <c r="M761" s="5">
        <v>44894</v>
      </c>
      <c r="N761" s="2">
        <v>18562.75</v>
      </c>
      <c r="O761" s="4">
        <f t="shared" si="47"/>
        <v>2.7008413120686026E-3</v>
      </c>
    </row>
    <row r="762" spans="1:15" x14ac:dyDescent="0.25">
      <c r="A762" s="3">
        <v>44893</v>
      </c>
      <c r="B762" s="1">
        <v>250.18799999999999</v>
      </c>
      <c r="C762" s="4">
        <f t="shared" si="44"/>
        <v>4.2346858906687768E-3</v>
      </c>
      <c r="E762" s="3">
        <v>44893</v>
      </c>
      <c r="F762" s="1">
        <v>94.14</v>
      </c>
      <c r="G762" s="4">
        <f t="shared" si="45"/>
        <v>-1.2730744748568057E-3</v>
      </c>
      <c r="I762" s="3">
        <v>44893</v>
      </c>
      <c r="J762" s="1">
        <v>102.1</v>
      </c>
      <c r="K762" s="4">
        <f t="shared" si="46"/>
        <v>1.3239837199037208E-3</v>
      </c>
      <c r="M762" s="5">
        <v>44893</v>
      </c>
      <c r="N762" s="2">
        <v>18512.75</v>
      </c>
      <c r="O762" s="4">
        <f t="shared" si="47"/>
        <v>1.5499807943044619E-3</v>
      </c>
    </row>
    <row r="763" spans="1:15" x14ac:dyDescent="0.25">
      <c r="A763" s="3">
        <v>44890</v>
      </c>
      <c r="B763" s="1">
        <v>249.13300000000001</v>
      </c>
      <c r="C763" s="4">
        <f t="shared" si="44"/>
        <v>-2.1548357638652149E-3</v>
      </c>
      <c r="E763" s="3">
        <v>44890</v>
      </c>
      <c r="F763" s="1">
        <v>94.26</v>
      </c>
      <c r="G763" s="4">
        <f t="shared" si="45"/>
        <v>5.3327645051195471E-3</v>
      </c>
      <c r="I763" s="3">
        <v>44890</v>
      </c>
      <c r="J763" s="1">
        <v>101.965</v>
      </c>
      <c r="K763" s="4">
        <f t="shared" si="46"/>
        <v>3.987790468688468E-3</v>
      </c>
      <c r="M763" s="5">
        <v>44890</v>
      </c>
      <c r="N763" s="2">
        <v>18484.099999999999</v>
      </c>
      <c r="O763" s="4">
        <f t="shared" si="47"/>
        <v>1.1870971273727493E-2</v>
      </c>
    </row>
    <row r="764" spans="1:15" x14ac:dyDescent="0.25">
      <c r="A764" s="3">
        <v>44889</v>
      </c>
      <c r="B764" s="1">
        <v>249.67099999999999</v>
      </c>
      <c r="C764" s="4">
        <f t="shared" si="44"/>
        <v>-3.420775322518832E-3</v>
      </c>
      <c r="E764" s="3">
        <v>44889</v>
      </c>
      <c r="F764" s="1">
        <v>93.76</v>
      </c>
      <c r="G764" s="4">
        <f t="shared" si="45"/>
        <v>4.9303322615219525E-3</v>
      </c>
      <c r="I764" s="3">
        <v>44889</v>
      </c>
      <c r="J764" s="1">
        <v>101.56</v>
      </c>
      <c r="K764" s="4">
        <f t="shared" si="46"/>
        <v>4.3909964792911982E-3</v>
      </c>
      <c r="M764" s="5">
        <v>44889</v>
      </c>
      <c r="N764" s="2">
        <v>18267.25</v>
      </c>
      <c r="O764" s="4">
        <f t="shared" si="47"/>
        <v>1.2634152223720552E-3</v>
      </c>
    </row>
    <row r="765" spans="1:15" x14ac:dyDescent="0.25">
      <c r="A765" s="3">
        <v>44888</v>
      </c>
      <c r="B765" s="1">
        <v>250.52799999999999</v>
      </c>
      <c r="C765" s="4">
        <f t="shared" si="44"/>
        <v>1.919631430765234E-3</v>
      </c>
      <c r="E765" s="3">
        <v>44888</v>
      </c>
      <c r="F765" s="1">
        <v>93.3</v>
      </c>
      <c r="G765" s="4">
        <f t="shared" si="45"/>
        <v>1.3952989159600193E-3</v>
      </c>
      <c r="I765" s="3">
        <v>44888</v>
      </c>
      <c r="J765" s="1">
        <v>101.116</v>
      </c>
      <c r="K765" s="4">
        <f t="shared" si="46"/>
        <v>9.7463551028560413E-3</v>
      </c>
      <c r="M765" s="5">
        <v>44888</v>
      </c>
      <c r="N765" s="2">
        <v>18244.2</v>
      </c>
      <c r="O765" s="4">
        <f t="shared" si="47"/>
        <v>4.6393299541023225E-3</v>
      </c>
    </row>
    <row r="766" spans="1:15" x14ac:dyDescent="0.25">
      <c r="A766" s="3">
        <v>44887</v>
      </c>
      <c r="B766" s="1">
        <v>250.048</v>
      </c>
      <c r="C766" s="4">
        <f t="shared" si="44"/>
        <v>1.0048159105193744E-3</v>
      </c>
      <c r="E766" s="3">
        <v>44887</v>
      </c>
      <c r="F766" s="1">
        <v>93.17</v>
      </c>
      <c r="G766" s="4">
        <f t="shared" si="45"/>
        <v>2.1512315800795712E-3</v>
      </c>
      <c r="I766" s="3">
        <v>44887</v>
      </c>
      <c r="J766" s="1">
        <v>100.14</v>
      </c>
      <c r="K766" s="4">
        <f t="shared" si="46"/>
        <v>3.1052789742562759E-3</v>
      </c>
      <c r="M766" s="5">
        <v>44887</v>
      </c>
      <c r="N766" s="2">
        <v>18159.95</v>
      </c>
      <c r="O766" s="4">
        <f t="shared" si="47"/>
        <v>-8.0676657025888776E-3</v>
      </c>
    </row>
    <row r="767" spans="1:15" x14ac:dyDescent="0.25">
      <c r="A767" s="3">
        <v>44886</v>
      </c>
      <c r="B767" s="1">
        <v>249.797</v>
      </c>
      <c r="C767" s="4">
        <f t="shared" si="44"/>
        <v>4.2130822636472498E-3</v>
      </c>
      <c r="E767" s="3">
        <v>44886</v>
      </c>
      <c r="F767" s="1">
        <v>92.97</v>
      </c>
      <c r="G767" s="4">
        <f t="shared" si="45"/>
        <v>4.7552145250189248E-3</v>
      </c>
      <c r="I767" s="3">
        <v>44886</v>
      </c>
      <c r="J767" s="1">
        <v>99.83</v>
      </c>
      <c r="K767" s="4">
        <f t="shared" si="46"/>
        <v>5.6918349871555307E-3</v>
      </c>
      <c r="M767" s="5">
        <v>44886</v>
      </c>
      <c r="N767" s="2">
        <v>18307.650000000001</v>
      </c>
      <c r="O767" s="4">
        <f t="shared" si="47"/>
        <v>-1.9761337556354341E-3</v>
      </c>
    </row>
    <row r="768" spans="1:15" x14ac:dyDescent="0.25">
      <c r="A768" s="3">
        <v>44883</v>
      </c>
      <c r="B768" s="1">
        <v>248.749</v>
      </c>
      <c r="C768" s="4">
        <f t="shared" si="44"/>
        <v>5.2414205583304341E-3</v>
      </c>
      <c r="E768" s="3">
        <v>44883</v>
      </c>
      <c r="F768" s="1">
        <v>92.53</v>
      </c>
      <c r="G768" s="4">
        <f t="shared" si="45"/>
        <v>8.8312254688180936E-3</v>
      </c>
      <c r="I768" s="3">
        <v>44883</v>
      </c>
      <c r="J768" s="1">
        <v>99.265000000000001</v>
      </c>
      <c r="K768" s="4">
        <f t="shared" si="46"/>
        <v>-5.3806536943148409E-3</v>
      </c>
      <c r="M768" s="5">
        <v>44883</v>
      </c>
      <c r="N768" s="2">
        <v>18343.900000000001</v>
      </c>
      <c r="O768" s="4">
        <f t="shared" si="47"/>
        <v>-3.5714964706010655E-3</v>
      </c>
    </row>
    <row r="769" spans="1:15" x14ac:dyDescent="0.25">
      <c r="A769" s="3">
        <v>44882</v>
      </c>
      <c r="B769" s="1">
        <v>247.452</v>
      </c>
      <c r="C769" s="4">
        <f t="shared" si="44"/>
        <v>5.7822400317020239E-4</v>
      </c>
      <c r="E769" s="3">
        <v>44882</v>
      </c>
      <c r="F769" s="1">
        <v>91.72</v>
      </c>
      <c r="G769" s="4">
        <f t="shared" si="45"/>
        <v>1.7474879860199799E-3</v>
      </c>
      <c r="I769" s="3">
        <v>44882</v>
      </c>
      <c r="J769" s="1">
        <v>99.802000000000007</v>
      </c>
      <c r="K769" s="4">
        <f t="shared" si="46"/>
        <v>-4.4588973456093361E-3</v>
      </c>
      <c r="M769" s="5">
        <v>44882</v>
      </c>
      <c r="N769" s="2">
        <v>18409.650000000001</v>
      </c>
      <c r="O769" s="4">
        <f t="shared" si="47"/>
        <v>3.3961115880765114E-4</v>
      </c>
    </row>
    <row r="770" spans="1:15" x14ac:dyDescent="0.25">
      <c r="A770" s="3">
        <v>44881</v>
      </c>
      <c r="B770" s="1">
        <v>247.309</v>
      </c>
      <c r="C770" s="4">
        <f t="shared" si="44"/>
        <v>3.2493874438150883E-3</v>
      </c>
      <c r="E770" s="3">
        <v>44881</v>
      </c>
      <c r="F770" s="1">
        <v>91.56</v>
      </c>
      <c r="G770" s="4">
        <f t="shared" si="45"/>
        <v>4.1675806097827284E-3</v>
      </c>
      <c r="I770" s="3">
        <v>44881</v>
      </c>
      <c r="J770" s="1">
        <v>100.249</v>
      </c>
      <c r="K770" s="4">
        <f t="shared" si="46"/>
        <v>-2.3783934400127826E-3</v>
      </c>
      <c r="M770" s="5">
        <v>44881</v>
      </c>
      <c r="N770" s="2">
        <v>18403.400000000001</v>
      </c>
      <c r="O770" s="4">
        <f t="shared" si="47"/>
        <v>4.0509243472828249E-3</v>
      </c>
    </row>
    <row r="771" spans="1:15" x14ac:dyDescent="0.25">
      <c r="A771" s="3">
        <v>44880</v>
      </c>
      <c r="B771" s="1">
        <v>246.50800000000001</v>
      </c>
      <c r="C771" s="4">
        <f t="shared" ref="C771:C834" si="48">(B771/B772)-1</f>
        <v>5.4574376962923665E-3</v>
      </c>
      <c r="E771" s="3">
        <v>44880</v>
      </c>
      <c r="F771" s="1">
        <v>91.18</v>
      </c>
      <c r="G771" s="4">
        <f t="shared" ref="G771:G834" si="49">(F771/F772)-1</f>
        <v>-4.4764712304836696E-3</v>
      </c>
      <c r="I771" s="3">
        <v>44880</v>
      </c>
      <c r="J771" s="1">
        <v>100.488</v>
      </c>
      <c r="K771" s="4">
        <f t="shared" ref="K771:K834" si="50">(J771/J772)-1</f>
        <v>-2.6895860419416939E-3</v>
      </c>
      <c r="M771" s="5">
        <v>44880</v>
      </c>
      <c r="N771" s="2">
        <v>18329.150000000001</v>
      </c>
      <c r="O771" s="4">
        <f t="shared" ref="O771:O834" si="51">(N771/N772)-1</f>
        <v>-1.1199093173185348E-3</v>
      </c>
    </row>
    <row r="772" spans="1:15" x14ac:dyDescent="0.25">
      <c r="A772" s="3">
        <v>44879</v>
      </c>
      <c r="B772" s="1">
        <v>245.17</v>
      </c>
      <c r="C772" s="4">
        <f t="shared" si="48"/>
        <v>7.4044245751290205E-3</v>
      </c>
      <c r="E772" s="3">
        <v>44879</v>
      </c>
      <c r="F772" s="1">
        <v>91.59</v>
      </c>
      <c r="G772" s="4">
        <f t="shared" si="49"/>
        <v>-2.2875816993462861E-3</v>
      </c>
      <c r="I772" s="3">
        <v>44879</v>
      </c>
      <c r="J772" s="1">
        <v>100.759</v>
      </c>
      <c r="K772" s="4">
        <f t="shared" si="50"/>
        <v>4.255870509907167E-3</v>
      </c>
      <c r="M772" s="5">
        <v>44879</v>
      </c>
      <c r="N772" s="2">
        <v>18349.7</v>
      </c>
      <c r="O772" s="4">
        <f t="shared" si="51"/>
        <v>1.7833172474234882E-2</v>
      </c>
    </row>
    <row r="773" spans="1:15" x14ac:dyDescent="0.25">
      <c r="A773" s="3">
        <v>44876</v>
      </c>
      <c r="B773" s="1">
        <v>243.36799999999999</v>
      </c>
      <c r="C773" s="4">
        <f t="shared" si="48"/>
        <v>4.6358025965447247E-3</v>
      </c>
      <c r="E773" s="3">
        <v>44876</v>
      </c>
      <c r="F773" s="1">
        <v>91.8</v>
      </c>
      <c r="G773" s="4">
        <f t="shared" si="49"/>
        <v>-2.6075619295958807E-3</v>
      </c>
      <c r="I773" s="3">
        <v>44876</v>
      </c>
      <c r="J773" s="1">
        <v>100.33199999999999</v>
      </c>
      <c r="K773" s="4">
        <f t="shared" si="50"/>
        <v>-1.6940876341575706E-4</v>
      </c>
      <c r="M773" s="5">
        <v>44876</v>
      </c>
      <c r="N773" s="2">
        <v>18028.2</v>
      </c>
      <c r="O773" s="4">
        <f t="shared" si="51"/>
        <v>-7.0936828771271943E-3</v>
      </c>
    </row>
    <row r="774" spans="1:15" x14ac:dyDescent="0.25">
      <c r="A774" s="3">
        <v>44875</v>
      </c>
      <c r="B774" s="1">
        <v>242.245</v>
      </c>
      <c r="C774" s="4">
        <f t="shared" si="48"/>
        <v>1.7823616498631178E-3</v>
      </c>
      <c r="E774" s="3">
        <v>44875</v>
      </c>
      <c r="F774" s="1">
        <v>92.04</v>
      </c>
      <c r="G774" s="4">
        <f t="shared" si="49"/>
        <v>-1.19370591427026E-3</v>
      </c>
      <c r="I774" s="3">
        <v>44875</v>
      </c>
      <c r="J774" s="1">
        <v>100.349</v>
      </c>
      <c r="K774" s="4">
        <f t="shared" si="50"/>
        <v>8.1982859955995746E-3</v>
      </c>
      <c r="M774" s="5">
        <v>44875</v>
      </c>
      <c r="N774" s="2">
        <v>18157</v>
      </c>
      <c r="O774" s="4">
        <f t="shared" si="51"/>
        <v>-2.5160964247258333E-3</v>
      </c>
    </row>
    <row r="775" spans="1:15" x14ac:dyDescent="0.25">
      <c r="A775" s="3">
        <v>44874</v>
      </c>
      <c r="B775" s="1">
        <v>241.81399999999999</v>
      </c>
      <c r="C775" s="4">
        <f t="shared" si="48"/>
        <v>-2.5039084897759967E-3</v>
      </c>
      <c r="E775" s="3">
        <v>44874</v>
      </c>
      <c r="F775" s="1">
        <v>92.15</v>
      </c>
      <c r="G775" s="4">
        <f t="shared" si="49"/>
        <v>3.0477849134646906E-3</v>
      </c>
      <c r="I775" s="3">
        <v>44874</v>
      </c>
      <c r="J775" s="1">
        <v>99.533000000000001</v>
      </c>
      <c r="K775" s="4">
        <f t="shared" si="50"/>
        <v>-8.0327689133835589E-3</v>
      </c>
      <c r="M775" s="5">
        <v>44874</v>
      </c>
      <c r="N775" s="2">
        <v>18202.8</v>
      </c>
      <c r="O775" s="4">
        <f t="shared" si="51"/>
        <v>4.7275647659812403E-3</v>
      </c>
    </row>
    <row r="776" spans="1:15" x14ac:dyDescent="0.25">
      <c r="A776" s="3">
        <v>44872</v>
      </c>
      <c r="B776" s="1">
        <v>242.42099999999999</v>
      </c>
      <c r="C776" s="4">
        <f t="shared" si="48"/>
        <v>3.5488064043565082E-4</v>
      </c>
      <c r="E776" s="3">
        <v>44872</v>
      </c>
      <c r="F776" s="1">
        <v>91.87</v>
      </c>
      <c r="G776" s="4">
        <f t="shared" si="49"/>
        <v>2.1774632553084317E-4</v>
      </c>
      <c r="I776" s="3">
        <v>44872</v>
      </c>
      <c r="J776" s="1">
        <v>100.339</v>
      </c>
      <c r="K776" s="4">
        <f t="shared" si="50"/>
        <v>-1.9297146210697225E-3</v>
      </c>
      <c r="M776" s="5">
        <v>44872</v>
      </c>
      <c r="N776" s="2">
        <v>18117.150000000001</v>
      </c>
      <c r="O776" s="4">
        <f t="shared" si="51"/>
        <v>3.5701030870729511E-3</v>
      </c>
    </row>
    <row r="777" spans="1:15" x14ac:dyDescent="0.25">
      <c r="A777" s="3">
        <v>44869</v>
      </c>
      <c r="B777" s="1">
        <v>242.33500000000001</v>
      </c>
      <c r="C777" s="4">
        <f t="shared" si="48"/>
        <v>-3.3395435682940233E-3</v>
      </c>
      <c r="E777" s="3">
        <v>44869</v>
      </c>
      <c r="F777" s="1">
        <v>91.85</v>
      </c>
      <c r="G777" s="4">
        <f t="shared" si="49"/>
        <v>1.0228772547294263E-2</v>
      </c>
      <c r="I777" s="3">
        <v>44869</v>
      </c>
      <c r="J777" s="1">
        <v>100.533</v>
      </c>
      <c r="K777" s="4">
        <f t="shared" si="50"/>
        <v>9.509368786777328E-3</v>
      </c>
      <c r="M777" s="5">
        <v>44869</v>
      </c>
      <c r="N777" s="2">
        <v>18052.7</v>
      </c>
      <c r="O777" s="4">
        <f t="shared" si="51"/>
        <v>-1.6673256704555772E-3</v>
      </c>
    </row>
    <row r="778" spans="1:15" x14ac:dyDescent="0.25">
      <c r="A778" s="3">
        <v>44868</v>
      </c>
      <c r="B778" s="1">
        <v>243.14699999999999</v>
      </c>
      <c r="C778" s="4">
        <f t="shared" si="48"/>
        <v>2.2213720674812976E-4</v>
      </c>
      <c r="E778" s="3">
        <v>44868</v>
      </c>
      <c r="F778" s="1">
        <v>90.92</v>
      </c>
      <c r="G778" s="4">
        <f t="shared" si="49"/>
        <v>-9.8017861032453357E-3</v>
      </c>
      <c r="I778" s="3">
        <v>44868</v>
      </c>
      <c r="J778" s="1">
        <v>99.585999999999999</v>
      </c>
      <c r="K778" s="4">
        <f t="shared" si="50"/>
        <v>-1.4338858306008895E-3</v>
      </c>
      <c r="M778" s="5">
        <v>44868</v>
      </c>
      <c r="N778" s="2">
        <v>18082.849999999999</v>
      </c>
      <c r="O778" s="4">
        <f t="shared" si="51"/>
        <v>-3.4471546507656159E-3</v>
      </c>
    </row>
    <row r="779" spans="1:15" x14ac:dyDescent="0.25">
      <c r="A779" s="3">
        <v>44867</v>
      </c>
      <c r="B779" s="1">
        <v>243.09299999999999</v>
      </c>
      <c r="C779" s="4">
        <f t="shared" si="48"/>
        <v>2.0528040561429428E-3</v>
      </c>
      <c r="E779" s="3">
        <v>44867</v>
      </c>
      <c r="F779" s="1">
        <v>91.82</v>
      </c>
      <c r="G779" s="4">
        <f t="shared" si="49"/>
        <v>-2.6069954377581084E-3</v>
      </c>
      <c r="I779" s="3">
        <v>44867</v>
      </c>
      <c r="J779" s="1">
        <v>99.728999999999999</v>
      </c>
      <c r="K779" s="4">
        <f t="shared" si="50"/>
        <v>-5.7122241597018508E-4</v>
      </c>
      <c r="M779" s="5">
        <v>44867</v>
      </c>
      <c r="N779" s="2">
        <v>18145.400000000001</v>
      </c>
      <c r="O779" s="4">
        <f t="shared" si="51"/>
        <v>7.3949878415739967E-3</v>
      </c>
    </row>
    <row r="780" spans="1:15" x14ac:dyDescent="0.25">
      <c r="A780" s="3">
        <v>44866</v>
      </c>
      <c r="B780" s="1">
        <v>242.595</v>
      </c>
      <c r="C780" s="4">
        <f t="shared" si="48"/>
        <v>-2.1142779576239779E-3</v>
      </c>
      <c r="E780" s="3">
        <v>44866</v>
      </c>
      <c r="F780" s="1">
        <v>92.06</v>
      </c>
      <c r="G780" s="4">
        <f t="shared" si="49"/>
        <v>5.6805767970284915E-3</v>
      </c>
      <c r="I780" s="3">
        <v>44866</v>
      </c>
      <c r="J780" s="1">
        <v>99.786000000000001</v>
      </c>
      <c r="K780" s="4">
        <f t="shared" si="50"/>
        <v>-4.2609242313870199E-3</v>
      </c>
      <c r="M780" s="5">
        <v>44866</v>
      </c>
      <c r="N780" s="2">
        <v>18012.2</v>
      </c>
      <c r="O780" s="4">
        <f t="shared" si="51"/>
        <v>1.2672318798210069E-2</v>
      </c>
    </row>
    <row r="781" spans="1:15" x14ac:dyDescent="0.25">
      <c r="A781" s="3">
        <v>44865</v>
      </c>
      <c r="B781" s="1">
        <v>243.10900000000001</v>
      </c>
      <c r="C781" s="4">
        <f t="shared" si="48"/>
        <v>8.9603652210001883E-3</v>
      </c>
      <c r="E781" s="3">
        <v>44865</v>
      </c>
      <c r="F781" s="1">
        <v>91.54</v>
      </c>
      <c r="G781" s="4">
        <f t="shared" si="49"/>
        <v>-2.3975588491716993E-3</v>
      </c>
      <c r="I781" s="3">
        <v>44865</v>
      </c>
      <c r="J781" s="1">
        <v>100.21299999999999</v>
      </c>
      <c r="K781" s="4">
        <f t="shared" si="50"/>
        <v>7.8850234840941447E-3</v>
      </c>
      <c r="M781" s="5">
        <v>44865</v>
      </c>
      <c r="N781" s="2">
        <v>17786.8</v>
      </c>
      <c r="O781" s="4">
        <f t="shared" si="51"/>
        <v>2.8105170280121605E-3</v>
      </c>
    </row>
    <row r="782" spans="1:15" x14ac:dyDescent="0.25">
      <c r="A782" s="3">
        <v>44862</v>
      </c>
      <c r="B782" s="1">
        <v>240.95</v>
      </c>
      <c r="C782" s="4">
        <f t="shared" si="48"/>
        <v>-7.2719032610263357E-3</v>
      </c>
      <c r="E782" s="3">
        <v>44862</v>
      </c>
      <c r="F782" s="1">
        <v>91.76</v>
      </c>
      <c r="G782" s="4">
        <f t="shared" si="49"/>
        <v>-4.3572984749451482E-4</v>
      </c>
      <c r="I782" s="3">
        <v>44862</v>
      </c>
      <c r="J782" s="1">
        <v>99.429000000000002</v>
      </c>
      <c r="K782" s="4">
        <f t="shared" si="50"/>
        <v>1.4022885348889291E-2</v>
      </c>
      <c r="M782" s="5">
        <v>44862</v>
      </c>
      <c r="N782" s="2">
        <v>17736.95</v>
      </c>
      <c r="O782" s="4">
        <f t="shared" si="51"/>
        <v>4.5649298977423758E-3</v>
      </c>
    </row>
    <row r="783" spans="1:15" x14ac:dyDescent="0.25">
      <c r="A783" s="3">
        <v>44861</v>
      </c>
      <c r="B783" s="1">
        <v>242.715</v>
      </c>
      <c r="C783" s="4">
        <f t="shared" si="48"/>
        <v>-3.5798297938723911E-3</v>
      </c>
      <c r="E783" s="3">
        <v>44861</v>
      </c>
      <c r="F783" s="1">
        <v>91.8</v>
      </c>
      <c r="G783" s="4">
        <f t="shared" si="49"/>
        <v>-2.4991850483538913E-3</v>
      </c>
      <c r="I783" s="3">
        <v>44861</v>
      </c>
      <c r="J783" s="1">
        <v>98.054000000000002</v>
      </c>
      <c r="K783" s="4">
        <f t="shared" si="50"/>
        <v>-1.6290956482781782E-3</v>
      </c>
      <c r="M783" s="5">
        <v>44861</v>
      </c>
      <c r="N783" s="2">
        <v>17656.349999999999</v>
      </c>
      <c r="O783" s="4">
        <f t="shared" si="51"/>
        <v>4.5544284064336082E-3</v>
      </c>
    </row>
    <row r="784" spans="1:15" x14ac:dyDescent="0.25">
      <c r="A784" s="3">
        <v>44859</v>
      </c>
      <c r="B784" s="1">
        <v>243.58699999999999</v>
      </c>
      <c r="C784" s="4">
        <f t="shared" si="48"/>
        <v>5.9551095418033384E-3</v>
      </c>
      <c r="E784" s="3">
        <v>44859</v>
      </c>
      <c r="F784" s="1">
        <v>92.03</v>
      </c>
      <c r="G784" s="4">
        <f t="shared" si="49"/>
        <v>7.2233774761956138E-3</v>
      </c>
      <c r="I784" s="3">
        <v>44859</v>
      </c>
      <c r="J784" s="1">
        <v>98.213999999999999</v>
      </c>
      <c r="K784" s="4">
        <f t="shared" si="50"/>
        <v>8.1088848743635644E-3</v>
      </c>
      <c r="M784" s="5">
        <v>44859</v>
      </c>
      <c r="N784" s="2">
        <v>17576.3</v>
      </c>
      <c r="O784" s="4">
        <f t="shared" si="51"/>
        <v>7.0314479373934091E-4</v>
      </c>
    </row>
    <row r="785" spans="1:15" x14ac:dyDescent="0.25">
      <c r="A785" s="3">
        <v>44855</v>
      </c>
      <c r="B785" s="1">
        <v>242.14500000000001</v>
      </c>
      <c r="C785" s="4">
        <f t="shared" si="48"/>
        <v>-1.1714770097636107E-3</v>
      </c>
      <c r="E785" s="3">
        <v>44855</v>
      </c>
      <c r="F785" s="1">
        <v>91.37</v>
      </c>
      <c r="G785" s="4">
        <f t="shared" si="49"/>
        <v>1.0618294436456122E-2</v>
      </c>
      <c r="I785" s="3">
        <v>44855</v>
      </c>
      <c r="J785" s="1">
        <v>97.424000000000007</v>
      </c>
      <c r="K785" s="4">
        <f t="shared" si="50"/>
        <v>9.303192922114345E-3</v>
      </c>
      <c r="M785" s="5">
        <v>44855</v>
      </c>
      <c r="N785" s="2">
        <v>17563.95</v>
      </c>
      <c r="O785" s="4">
        <f t="shared" si="51"/>
        <v>2.9522191608730708E-3</v>
      </c>
    </row>
    <row r="786" spans="1:15" x14ac:dyDescent="0.25">
      <c r="A786" s="3">
        <v>44854</v>
      </c>
      <c r="B786" s="1">
        <v>242.429</v>
      </c>
      <c r="C786" s="4">
        <f t="shared" si="48"/>
        <v>1.8472448363928695E-3</v>
      </c>
      <c r="E786" s="3">
        <v>44854</v>
      </c>
      <c r="F786" s="1">
        <v>90.41</v>
      </c>
      <c r="G786" s="4">
        <f t="shared" si="49"/>
        <v>-4.6240228999229194E-3</v>
      </c>
      <c r="I786" s="3">
        <v>44854</v>
      </c>
      <c r="J786" s="1">
        <v>96.525999999999996</v>
      </c>
      <c r="K786" s="4">
        <f t="shared" si="50"/>
        <v>1.1824254242209786E-3</v>
      </c>
      <c r="M786" s="5">
        <v>44854</v>
      </c>
      <c r="N786" s="2">
        <v>17512.25</v>
      </c>
      <c r="O786" s="4">
        <f t="shared" si="51"/>
        <v>1.4467931800570266E-3</v>
      </c>
    </row>
    <row r="787" spans="1:15" x14ac:dyDescent="0.25">
      <c r="A787" s="3">
        <v>44853</v>
      </c>
      <c r="B787" s="1">
        <v>241.982</v>
      </c>
      <c r="C787" s="4">
        <f t="shared" si="48"/>
        <v>-1.0073237389875977E-3</v>
      </c>
      <c r="E787" s="3">
        <v>44853</v>
      </c>
      <c r="F787" s="1">
        <v>90.83</v>
      </c>
      <c r="G787" s="4">
        <f t="shared" si="49"/>
        <v>5.6465899025686106E-3</v>
      </c>
      <c r="I787" s="3">
        <v>44853</v>
      </c>
      <c r="J787" s="1">
        <v>96.412000000000006</v>
      </c>
      <c r="K787" s="4">
        <f t="shared" si="50"/>
        <v>1.9537745261057893E-3</v>
      </c>
      <c r="M787" s="5">
        <v>44853</v>
      </c>
      <c r="N787" s="2">
        <v>17486.95</v>
      </c>
      <c r="O787" s="4">
        <f t="shared" si="51"/>
        <v>1.0117376587067906E-2</v>
      </c>
    </row>
    <row r="788" spans="1:15" x14ac:dyDescent="0.25">
      <c r="A788" s="3">
        <v>44852</v>
      </c>
      <c r="B788" s="1">
        <v>242.226</v>
      </c>
      <c r="C788" s="4">
        <f t="shared" si="48"/>
        <v>5.1747247685483E-3</v>
      </c>
      <c r="E788" s="3">
        <v>44852</v>
      </c>
      <c r="F788" s="1">
        <v>90.32</v>
      </c>
      <c r="G788" s="4">
        <f t="shared" si="49"/>
        <v>9.1620111731842702E-3</v>
      </c>
      <c r="I788" s="3">
        <v>44852</v>
      </c>
      <c r="J788" s="1">
        <v>96.224000000000004</v>
      </c>
      <c r="K788" s="4">
        <f t="shared" si="50"/>
        <v>-8.6182728150596688E-4</v>
      </c>
      <c r="M788" s="5">
        <v>44852</v>
      </c>
      <c r="N788" s="2">
        <v>17311.8</v>
      </c>
      <c r="O788" s="4">
        <f t="shared" si="51"/>
        <v>7.337495708641395E-3</v>
      </c>
    </row>
    <row r="789" spans="1:15" x14ac:dyDescent="0.25">
      <c r="A789" s="3">
        <v>44851</v>
      </c>
      <c r="B789" s="1">
        <v>240.97900000000001</v>
      </c>
      <c r="C789" s="4">
        <f t="shared" si="48"/>
        <v>8.3309622240448356E-3</v>
      </c>
      <c r="E789" s="3">
        <v>44851</v>
      </c>
      <c r="F789" s="1">
        <v>89.5</v>
      </c>
      <c r="G789" s="4">
        <f t="shared" si="49"/>
        <v>-5.5834729201564848E-4</v>
      </c>
      <c r="I789" s="3">
        <v>44851</v>
      </c>
      <c r="J789" s="1">
        <v>96.307000000000002</v>
      </c>
      <c r="K789" s="4">
        <f t="shared" si="50"/>
        <v>1.0959134186410147E-2</v>
      </c>
      <c r="M789" s="5">
        <v>44851</v>
      </c>
      <c r="N789" s="2">
        <v>17185.7</v>
      </c>
      <c r="O789" s="4">
        <f t="shared" si="51"/>
        <v>1.0070910731235783E-2</v>
      </c>
    </row>
    <row r="790" spans="1:15" x14ac:dyDescent="0.25">
      <c r="A790" s="3">
        <v>44848</v>
      </c>
      <c r="B790" s="1">
        <v>238.988</v>
      </c>
      <c r="C790" s="4">
        <f t="shared" si="48"/>
        <v>-3.8597163983760119E-3</v>
      </c>
      <c r="E790" s="3">
        <v>44848</v>
      </c>
      <c r="F790" s="1">
        <v>89.55</v>
      </c>
      <c r="G790" s="4">
        <f t="shared" si="49"/>
        <v>-3.3489618218351946E-4</v>
      </c>
      <c r="I790" s="3">
        <v>44848</v>
      </c>
      <c r="J790" s="1">
        <v>95.263000000000005</v>
      </c>
      <c r="K790" s="4">
        <f t="shared" si="50"/>
        <v>8.2767963929257782E-3</v>
      </c>
      <c r="M790" s="5">
        <v>44848</v>
      </c>
      <c r="N790" s="2">
        <v>17014.349999999999</v>
      </c>
      <c r="O790" s="4">
        <f t="shared" si="51"/>
        <v>-6.380083627274602E-3</v>
      </c>
    </row>
    <row r="791" spans="1:15" x14ac:dyDescent="0.25">
      <c r="A791" s="3">
        <v>44847</v>
      </c>
      <c r="B791" s="1">
        <v>239.91399999999999</v>
      </c>
      <c r="C791" s="4">
        <f t="shared" si="48"/>
        <v>4.7491414691347433E-3</v>
      </c>
      <c r="E791" s="3">
        <v>44847</v>
      </c>
      <c r="F791" s="1">
        <v>89.58</v>
      </c>
      <c r="G791" s="4">
        <f t="shared" si="49"/>
        <v>-1.7829284599955031E-3</v>
      </c>
      <c r="I791" s="3">
        <v>44847</v>
      </c>
      <c r="J791" s="1">
        <v>94.480999999999995</v>
      </c>
      <c r="K791" s="4">
        <f t="shared" si="50"/>
        <v>6.7771325057275345E-3</v>
      </c>
      <c r="M791" s="5">
        <v>44847</v>
      </c>
      <c r="N791" s="2">
        <v>17123.599999999999</v>
      </c>
      <c r="O791" s="4">
        <f t="shared" si="51"/>
        <v>8.2462147195374591E-3</v>
      </c>
    </row>
    <row r="792" spans="1:15" x14ac:dyDescent="0.25">
      <c r="A792" s="3">
        <v>44846</v>
      </c>
      <c r="B792" s="1">
        <v>238.78</v>
      </c>
      <c r="C792" s="4">
        <f t="shared" si="48"/>
        <v>1.2075564465881872E-2</v>
      </c>
      <c r="E792" s="3">
        <v>44846</v>
      </c>
      <c r="F792" s="1">
        <v>89.74</v>
      </c>
      <c r="G792" s="4">
        <f t="shared" si="49"/>
        <v>1.1382846838724037E-2</v>
      </c>
      <c r="I792" s="3">
        <v>44846</v>
      </c>
      <c r="J792" s="1">
        <v>93.844999999999999</v>
      </c>
      <c r="K792" s="4">
        <f t="shared" si="50"/>
        <v>-8.1801752290766583E-3</v>
      </c>
      <c r="M792" s="5">
        <v>44846</v>
      </c>
      <c r="N792" s="2">
        <v>16983.55</v>
      </c>
      <c r="O792" s="4">
        <f t="shared" si="51"/>
        <v>-1.4932428513427354E-2</v>
      </c>
    </row>
    <row r="793" spans="1:15" x14ac:dyDescent="0.25">
      <c r="A793" s="3">
        <v>44845</v>
      </c>
      <c r="B793" s="1">
        <v>235.93100000000001</v>
      </c>
      <c r="C793" s="4">
        <f t="shared" si="48"/>
        <v>4.2827460458805255E-4</v>
      </c>
      <c r="E793" s="3">
        <v>44845</v>
      </c>
      <c r="F793" s="1">
        <v>88.73</v>
      </c>
      <c r="G793" s="4">
        <f t="shared" si="49"/>
        <v>7.379654859218876E-3</v>
      </c>
      <c r="I793" s="3">
        <v>44845</v>
      </c>
      <c r="J793" s="1">
        <v>94.619</v>
      </c>
      <c r="K793" s="4">
        <f t="shared" si="50"/>
        <v>7.8717511717085742E-3</v>
      </c>
      <c r="M793" s="5">
        <v>44845</v>
      </c>
      <c r="N793" s="2">
        <v>17241</v>
      </c>
      <c r="O793" s="4">
        <f t="shared" si="51"/>
        <v>-4.2536233767359599E-3</v>
      </c>
    </row>
    <row r="794" spans="1:15" x14ac:dyDescent="0.25">
      <c r="A794" s="3">
        <v>44844</v>
      </c>
      <c r="B794" s="1">
        <v>235.83</v>
      </c>
      <c r="C794" s="4">
        <f t="shared" si="48"/>
        <v>3.1135951815839391E-3</v>
      </c>
      <c r="E794" s="3">
        <v>44844</v>
      </c>
      <c r="F794" s="1">
        <v>88.08</v>
      </c>
      <c r="G794" s="4">
        <f t="shared" si="49"/>
        <v>6.5135413095644967E-3</v>
      </c>
      <c r="I794" s="3">
        <v>44844</v>
      </c>
      <c r="J794" s="1">
        <v>93.88</v>
      </c>
      <c r="K794" s="4">
        <f t="shared" si="50"/>
        <v>-1.35650565823624E-2</v>
      </c>
      <c r="M794" s="5">
        <v>44844</v>
      </c>
      <c r="N794" s="2">
        <v>17314.650000000001</v>
      </c>
      <c r="O794" s="4">
        <f t="shared" si="51"/>
        <v>-9.8951061055385647E-4</v>
      </c>
    </row>
    <row r="795" spans="1:15" x14ac:dyDescent="0.25">
      <c r="A795" s="3">
        <v>44841</v>
      </c>
      <c r="B795" s="1">
        <v>235.09800000000001</v>
      </c>
      <c r="C795" s="4">
        <f t="shared" si="48"/>
        <v>5.5299147116993908E-5</v>
      </c>
      <c r="E795" s="3">
        <v>44841</v>
      </c>
      <c r="F795" s="1">
        <v>87.51</v>
      </c>
      <c r="G795" s="4">
        <f t="shared" si="49"/>
        <v>-6.9223785746709288E-3</v>
      </c>
      <c r="I795" s="3">
        <v>44841</v>
      </c>
      <c r="J795" s="1">
        <v>95.171000000000006</v>
      </c>
      <c r="K795" s="4">
        <f t="shared" si="50"/>
        <v>-3.3302265182376667E-3</v>
      </c>
      <c r="M795" s="5">
        <v>44841</v>
      </c>
      <c r="N795" s="2">
        <v>17331.8</v>
      </c>
      <c r="O795" s="4">
        <f t="shared" si="51"/>
        <v>2.6318516522722657E-2</v>
      </c>
    </row>
    <row r="796" spans="1:15" x14ac:dyDescent="0.25">
      <c r="A796" s="3">
        <v>44840</v>
      </c>
      <c r="B796" s="1">
        <v>235.08500000000001</v>
      </c>
      <c r="C796" s="4">
        <f t="shared" si="48"/>
        <v>1.057061549439875E-2</v>
      </c>
      <c r="E796" s="3">
        <v>44840</v>
      </c>
      <c r="F796" s="1">
        <v>88.12</v>
      </c>
      <c r="G796" s="4">
        <f t="shared" si="49"/>
        <v>6.5105653912052031E-3</v>
      </c>
      <c r="I796" s="3">
        <v>44840</v>
      </c>
      <c r="J796" s="1">
        <v>95.489000000000004</v>
      </c>
      <c r="K796" s="4">
        <f t="shared" si="50"/>
        <v>-4.2753313381787006E-3</v>
      </c>
      <c r="M796" s="5">
        <v>44840</v>
      </c>
      <c r="N796" s="2">
        <v>16887.349999999999</v>
      </c>
      <c r="O796" s="4">
        <f t="shared" si="51"/>
        <v>-1.2109264172080247E-2</v>
      </c>
    </row>
    <row r="797" spans="1:15" x14ac:dyDescent="0.25">
      <c r="A797" s="3">
        <v>44837</v>
      </c>
      <c r="B797" s="1">
        <v>232.626</v>
      </c>
      <c r="C797" s="4">
        <f t="shared" si="48"/>
        <v>5.2764633434887465E-3</v>
      </c>
      <c r="E797" s="3">
        <v>44837</v>
      </c>
      <c r="F797" s="1">
        <v>87.55</v>
      </c>
      <c r="G797" s="4">
        <f t="shared" si="49"/>
        <v>-1.3632266786841041E-2</v>
      </c>
      <c r="I797" s="3">
        <v>44837</v>
      </c>
      <c r="J797" s="1">
        <v>95.899000000000001</v>
      </c>
      <c r="K797" s="4">
        <f t="shared" si="50"/>
        <v>2.6755888650963566E-2</v>
      </c>
      <c r="M797" s="5">
        <v>44837</v>
      </c>
      <c r="N797" s="2">
        <v>17094.349999999999</v>
      </c>
      <c r="O797" s="4">
        <f t="shared" si="51"/>
        <v>1.6425755584756896E-2</v>
      </c>
    </row>
    <row r="798" spans="1:15" x14ac:dyDescent="0.25">
      <c r="A798" s="3">
        <v>44834</v>
      </c>
      <c r="B798" s="1">
        <v>231.405</v>
      </c>
      <c r="C798" s="4">
        <f t="shared" si="48"/>
        <v>4.9551818781918833E-3</v>
      </c>
      <c r="E798" s="3">
        <v>44834</v>
      </c>
      <c r="F798" s="1">
        <v>88.76</v>
      </c>
      <c r="G798" s="4">
        <f t="shared" si="49"/>
        <v>-5.4901960784312642E-3</v>
      </c>
      <c r="I798" s="3">
        <v>44834</v>
      </c>
      <c r="J798" s="1">
        <v>93.4</v>
      </c>
      <c r="K798" s="4">
        <f t="shared" si="50"/>
        <v>-1.2580611058251367E-2</v>
      </c>
      <c r="M798" s="5">
        <v>44834</v>
      </c>
      <c r="N798" s="2">
        <v>16818.099999999999</v>
      </c>
      <c r="O798" s="4">
        <f t="shared" si="51"/>
        <v>-2.4023347134399797E-3</v>
      </c>
    </row>
    <row r="799" spans="1:15" x14ac:dyDescent="0.25">
      <c r="A799" s="3">
        <v>44833</v>
      </c>
      <c r="B799" s="1">
        <v>230.26400000000001</v>
      </c>
      <c r="C799" s="4">
        <f t="shared" si="48"/>
        <v>-3.1300462796607365E-3</v>
      </c>
      <c r="E799" s="3">
        <v>44833</v>
      </c>
      <c r="F799" s="1">
        <v>89.25</v>
      </c>
      <c r="G799" s="4">
        <f t="shared" si="49"/>
        <v>-7.8369905956110486E-4</v>
      </c>
      <c r="I799" s="3">
        <v>44833</v>
      </c>
      <c r="J799" s="1">
        <v>94.59</v>
      </c>
      <c r="K799" s="4">
        <f t="shared" si="50"/>
        <v>1.5426234259766192E-2</v>
      </c>
      <c r="M799" s="5">
        <v>44833</v>
      </c>
      <c r="N799" s="2">
        <v>16858.599999999999</v>
      </c>
      <c r="O799" s="4">
        <f t="shared" si="51"/>
        <v>-8.7491327304586308E-3</v>
      </c>
    </row>
    <row r="800" spans="1:15" x14ac:dyDescent="0.25">
      <c r="A800" s="3">
        <v>44832</v>
      </c>
      <c r="B800" s="1">
        <v>230.98699999999999</v>
      </c>
      <c r="C800" s="4">
        <f t="shared" si="48"/>
        <v>1.4741141224468013E-3</v>
      </c>
      <c r="E800" s="3">
        <v>44832</v>
      </c>
      <c r="F800" s="1">
        <v>89.32</v>
      </c>
      <c r="G800" s="4">
        <f t="shared" si="49"/>
        <v>2.6666666666666616E-2</v>
      </c>
      <c r="I800" s="3">
        <v>44832</v>
      </c>
      <c r="J800" s="1">
        <v>93.153000000000006</v>
      </c>
      <c r="K800" s="4">
        <f t="shared" si="50"/>
        <v>3.4146236373822081E-3</v>
      </c>
      <c r="M800" s="5">
        <v>44832</v>
      </c>
      <c r="N800" s="2">
        <v>17007.400000000001</v>
      </c>
      <c r="O800" s="4">
        <f t="shared" si="51"/>
        <v>-5.230279202880217E-4</v>
      </c>
    </row>
    <row r="801" spans="1:15" x14ac:dyDescent="0.25">
      <c r="A801" s="3">
        <v>44831</v>
      </c>
      <c r="B801" s="1">
        <v>230.64699999999999</v>
      </c>
      <c r="C801" s="4">
        <f t="shared" si="48"/>
        <v>-1.1329246860131148E-2</v>
      </c>
      <c r="E801" s="3">
        <v>44831</v>
      </c>
      <c r="F801" s="1">
        <v>87</v>
      </c>
      <c r="G801" s="4">
        <f t="shared" si="49"/>
        <v>-1.1138895203455346E-2</v>
      </c>
      <c r="I801" s="3">
        <v>44831</v>
      </c>
      <c r="J801" s="1">
        <v>92.835999999999999</v>
      </c>
      <c r="K801" s="4">
        <f t="shared" si="50"/>
        <v>-7.0803653554087909E-3</v>
      </c>
      <c r="M801" s="5">
        <v>44831</v>
      </c>
      <c r="N801" s="2">
        <v>17016.3</v>
      </c>
      <c r="O801" s="4">
        <f t="shared" si="51"/>
        <v>-1.7951388989083661E-2</v>
      </c>
    </row>
    <row r="802" spans="1:15" x14ac:dyDescent="0.25">
      <c r="A802" s="3">
        <v>44830</v>
      </c>
      <c r="B802" s="1">
        <v>233.29</v>
      </c>
      <c r="C802" s="4">
        <f t="shared" si="48"/>
        <v>-2.2923028234670406E-3</v>
      </c>
      <c r="E802" s="3">
        <v>44830</v>
      </c>
      <c r="F802" s="1">
        <v>87.98</v>
      </c>
      <c r="G802" s="4">
        <f t="shared" si="49"/>
        <v>1.4763552479815534E-2</v>
      </c>
      <c r="I802" s="3">
        <v>44830</v>
      </c>
      <c r="J802" s="1">
        <v>93.498000000000005</v>
      </c>
      <c r="K802" s="4">
        <f t="shared" si="50"/>
        <v>9.5279898082623049E-4</v>
      </c>
      <c r="M802" s="5">
        <v>44830</v>
      </c>
      <c r="N802" s="2">
        <v>17327.349999999999</v>
      </c>
      <c r="O802" s="4">
        <f t="shared" si="51"/>
        <v>-1.7155611521401326E-2</v>
      </c>
    </row>
    <row r="803" spans="1:15" x14ac:dyDescent="0.25">
      <c r="A803" s="3">
        <v>44827</v>
      </c>
      <c r="B803" s="1">
        <v>233.82599999999999</v>
      </c>
      <c r="C803" s="4">
        <f t="shared" si="48"/>
        <v>-4.6166867578034676E-4</v>
      </c>
      <c r="E803" s="3">
        <v>44827</v>
      </c>
      <c r="F803" s="1">
        <v>86.7</v>
      </c>
      <c r="G803" s="4">
        <f t="shared" si="49"/>
        <v>1.3860013860014231E-3</v>
      </c>
      <c r="I803" s="3">
        <v>44827</v>
      </c>
      <c r="J803" s="1">
        <v>93.409000000000006</v>
      </c>
      <c r="K803" s="4">
        <f t="shared" si="50"/>
        <v>-2.0264104634941771E-2</v>
      </c>
      <c r="M803" s="5">
        <v>44827</v>
      </c>
      <c r="N803" s="2">
        <v>17629.8</v>
      </c>
      <c r="O803" s="4">
        <f t="shared" si="51"/>
        <v>-4.9976436857833706E-3</v>
      </c>
    </row>
    <row r="804" spans="1:15" x14ac:dyDescent="0.25">
      <c r="A804" s="3">
        <v>44826</v>
      </c>
      <c r="B804" s="1">
        <v>233.934</v>
      </c>
      <c r="C804" s="4">
        <f t="shared" si="48"/>
        <v>2.3212481465443746E-2</v>
      </c>
      <c r="E804" s="3">
        <v>44826</v>
      </c>
      <c r="F804" s="1">
        <v>86.58</v>
      </c>
      <c r="G804" s="4">
        <f t="shared" si="49"/>
        <v>-6.6544286369893957E-3</v>
      </c>
      <c r="I804" s="3">
        <v>44826</v>
      </c>
      <c r="J804" s="1">
        <v>95.340999999999994</v>
      </c>
      <c r="K804" s="4">
        <f t="shared" si="50"/>
        <v>-1.9095239565007249E-2</v>
      </c>
      <c r="M804" s="5">
        <v>44826</v>
      </c>
      <c r="N804" s="2">
        <v>17718.349999999999</v>
      </c>
      <c r="O804" s="4">
        <f t="shared" si="51"/>
        <v>-5.4949835122430901E-3</v>
      </c>
    </row>
    <row r="805" spans="1:15" x14ac:dyDescent="0.25">
      <c r="A805" s="3">
        <v>44825</v>
      </c>
      <c r="B805" s="1">
        <v>228.62700000000001</v>
      </c>
      <c r="C805" s="4">
        <f t="shared" si="48"/>
        <v>-9.1746697638941388E-3</v>
      </c>
      <c r="E805" s="3">
        <v>44825</v>
      </c>
      <c r="F805" s="1">
        <v>87.16</v>
      </c>
      <c r="G805" s="4">
        <f t="shared" si="49"/>
        <v>4.5913682277309853E-4</v>
      </c>
      <c r="I805" s="3">
        <v>44825</v>
      </c>
      <c r="J805" s="1">
        <v>97.197000000000003</v>
      </c>
      <c r="K805" s="4">
        <f t="shared" si="50"/>
        <v>-3.4041156989202959E-3</v>
      </c>
      <c r="M805" s="5">
        <v>44825</v>
      </c>
      <c r="N805" s="2">
        <v>17816.25</v>
      </c>
      <c r="O805" s="4">
        <f t="shared" si="51"/>
        <v>1.1008809885230342E-2</v>
      </c>
    </row>
    <row r="806" spans="1:15" x14ac:dyDescent="0.25">
      <c r="A806" s="3">
        <v>44824</v>
      </c>
      <c r="B806" s="1">
        <v>230.744</v>
      </c>
      <c r="C806" s="4">
        <f t="shared" si="48"/>
        <v>1.5504728876292173E-2</v>
      </c>
      <c r="E806" s="3">
        <v>44824</v>
      </c>
      <c r="F806" s="1">
        <v>87.12</v>
      </c>
      <c r="G806" s="4">
        <f t="shared" si="49"/>
        <v>-2.1123595505617931E-2</v>
      </c>
      <c r="I806" s="3">
        <v>44824</v>
      </c>
      <c r="J806" s="1">
        <v>97.528999999999996</v>
      </c>
      <c r="K806" s="4">
        <f t="shared" si="50"/>
        <v>-7.1666344303850105E-3</v>
      </c>
      <c r="M806" s="5">
        <v>44824</v>
      </c>
      <c r="N806" s="2">
        <v>17622.25</v>
      </c>
      <c r="O806" s="4">
        <f t="shared" si="51"/>
        <v>5.2136661941664109E-3</v>
      </c>
    </row>
    <row r="807" spans="1:15" x14ac:dyDescent="0.25">
      <c r="A807" s="3">
        <v>44823</v>
      </c>
      <c r="B807" s="1">
        <v>227.221</v>
      </c>
      <c r="C807" s="4">
        <f t="shared" si="48"/>
        <v>2.3689364930916668E-3</v>
      </c>
      <c r="E807" s="3">
        <v>44823</v>
      </c>
      <c r="F807" s="1">
        <v>89</v>
      </c>
      <c r="G807" s="4">
        <f t="shared" si="49"/>
        <v>-1.711761457758143E-2</v>
      </c>
      <c r="I807" s="3">
        <v>44823</v>
      </c>
      <c r="J807" s="1">
        <v>98.233000000000004</v>
      </c>
      <c r="K807" s="4">
        <f t="shared" si="50"/>
        <v>1.2533885813826418E-2</v>
      </c>
      <c r="M807" s="5">
        <v>44823</v>
      </c>
      <c r="N807" s="2">
        <v>17530.849999999999</v>
      </c>
      <c r="O807" s="4">
        <f t="shared" si="51"/>
        <v>-1.9384809871681674E-2</v>
      </c>
    </row>
    <row r="808" spans="1:15" x14ac:dyDescent="0.25">
      <c r="A808" s="3">
        <v>44820</v>
      </c>
      <c r="B808" s="1">
        <v>226.684</v>
      </c>
      <c r="C808" s="4">
        <f t="shared" si="48"/>
        <v>-6.3428468730685195E-3</v>
      </c>
      <c r="E808" s="3">
        <v>44820</v>
      </c>
      <c r="F808" s="1">
        <v>90.55</v>
      </c>
      <c r="G808" s="4">
        <f t="shared" si="49"/>
        <v>-3.0826819332819833E-3</v>
      </c>
      <c r="I808" s="3">
        <v>44820</v>
      </c>
      <c r="J808" s="1">
        <v>97.016999999999996</v>
      </c>
      <c r="K808" s="4">
        <f t="shared" si="50"/>
        <v>3.2989306914310568E-3</v>
      </c>
      <c r="M808" s="5">
        <v>44820</v>
      </c>
      <c r="N808" s="2">
        <v>17877.400000000001</v>
      </c>
      <c r="O808" s="4">
        <f t="shared" si="51"/>
        <v>-7.0179823647850137E-3</v>
      </c>
    </row>
    <row r="809" spans="1:15" x14ac:dyDescent="0.25">
      <c r="A809" s="3">
        <v>44819</v>
      </c>
      <c r="B809" s="1">
        <v>228.131</v>
      </c>
      <c r="C809" s="4">
        <f t="shared" si="48"/>
        <v>2.0776779203894868E-3</v>
      </c>
      <c r="E809" s="3">
        <v>44819</v>
      </c>
      <c r="F809" s="1">
        <v>90.83</v>
      </c>
      <c r="G809" s="4">
        <f t="shared" si="49"/>
        <v>-6.671041119860055E-3</v>
      </c>
      <c r="I809" s="3">
        <v>44819</v>
      </c>
      <c r="J809" s="1">
        <v>96.697999999999993</v>
      </c>
      <c r="K809" s="4">
        <f t="shared" si="50"/>
        <v>-2.0789662889489802E-2</v>
      </c>
      <c r="M809" s="5">
        <v>44819</v>
      </c>
      <c r="N809" s="2">
        <v>18003.75</v>
      </c>
      <c r="O809" s="4">
        <f t="shared" si="51"/>
        <v>-3.6690545958644183E-3</v>
      </c>
    </row>
    <row r="810" spans="1:15" x14ac:dyDescent="0.25">
      <c r="A810" s="3">
        <v>44818</v>
      </c>
      <c r="B810" s="1">
        <v>227.65799999999999</v>
      </c>
      <c r="C810" s="4">
        <f t="shared" si="48"/>
        <v>-2.1612724389415972E-2</v>
      </c>
      <c r="E810" s="3">
        <v>44818</v>
      </c>
      <c r="F810" s="1">
        <v>91.44</v>
      </c>
      <c r="G810" s="4">
        <f t="shared" si="49"/>
        <v>1.2512457092237694E-2</v>
      </c>
      <c r="I810" s="3">
        <v>44818</v>
      </c>
      <c r="J810" s="1">
        <v>98.751000000000005</v>
      </c>
      <c r="K810" s="4">
        <f t="shared" si="50"/>
        <v>-3.2803100650005135E-3</v>
      </c>
      <c r="M810" s="5">
        <v>44818</v>
      </c>
      <c r="N810" s="2">
        <v>18070.05</v>
      </c>
      <c r="O810" s="4">
        <f t="shared" si="51"/>
        <v>7.4541364324403059E-3</v>
      </c>
    </row>
    <row r="811" spans="1:15" x14ac:dyDescent="0.25">
      <c r="A811" s="3">
        <v>44817</v>
      </c>
      <c r="B811" s="1">
        <v>232.68700000000001</v>
      </c>
      <c r="C811" s="4">
        <f t="shared" si="48"/>
        <v>-1.8537889844020161E-2</v>
      </c>
      <c r="E811" s="3">
        <v>44817</v>
      </c>
      <c r="F811" s="1">
        <v>90.31</v>
      </c>
      <c r="G811" s="4">
        <f t="shared" si="49"/>
        <v>3.779037456930201E-3</v>
      </c>
      <c r="I811" s="3">
        <v>44817</v>
      </c>
      <c r="J811" s="1">
        <v>99.075999999999993</v>
      </c>
      <c r="K811" s="4">
        <f t="shared" si="50"/>
        <v>-2.135202642816858E-3</v>
      </c>
      <c r="M811" s="5">
        <v>44817</v>
      </c>
      <c r="N811" s="2">
        <v>17936.349999999999</v>
      </c>
      <c r="O811" s="4">
        <f t="shared" si="51"/>
        <v>5.775695536733183E-3</v>
      </c>
    </row>
    <row r="812" spans="1:15" x14ac:dyDescent="0.25">
      <c r="A812" s="3">
        <v>44816</v>
      </c>
      <c r="B812" s="1">
        <v>237.08199999999999</v>
      </c>
      <c r="C812" s="4">
        <f t="shared" si="48"/>
        <v>-3.0361137743688538E-3</v>
      </c>
      <c r="E812" s="3">
        <v>44816</v>
      </c>
      <c r="F812" s="1">
        <v>89.97</v>
      </c>
      <c r="G812" s="4">
        <f t="shared" si="49"/>
        <v>-1.8865866957470057E-2</v>
      </c>
      <c r="I812" s="3">
        <v>44816</v>
      </c>
      <c r="J812" s="1">
        <v>99.287999999999997</v>
      </c>
      <c r="K812" s="4">
        <f t="shared" si="50"/>
        <v>5.8147780456672127E-3</v>
      </c>
      <c r="M812" s="5">
        <v>44816</v>
      </c>
      <c r="N812" s="2">
        <v>17833.349999999999</v>
      </c>
      <c r="O812" s="4">
        <f t="shared" si="51"/>
        <v>1.9439567385348688E-3</v>
      </c>
    </row>
    <row r="813" spans="1:15" x14ac:dyDescent="0.25">
      <c r="A813" s="3">
        <v>44813</v>
      </c>
      <c r="B813" s="1">
        <v>237.804</v>
      </c>
      <c r="C813" s="4">
        <f t="shared" si="48"/>
        <v>-5.0749528276231581E-3</v>
      </c>
      <c r="E813" s="3">
        <v>44813</v>
      </c>
      <c r="F813" s="1">
        <v>91.7</v>
      </c>
      <c r="G813" s="4">
        <f t="shared" si="49"/>
        <v>-3.8022813688212143E-3</v>
      </c>
      <c r="I813" s="3">
        <v>44813</v>
      </c>
      <c r="J813" s="1">
        <v>98.713999999999999</v>
      </c>
      <c r="K813" s="4">
        <f t="shared" si="50"/>
        <v>6.2999510683412474E-3</v>
      </c>
      <c r="M813" s="5">
        <v>44813</v>
      </c>
      <c r="N813" s="2">
        <v>17798.75</v>
      </c>
      <c r="O813" s="4">
        <f t="shared" si="51"/>
        <v>9.8925353487209211E-3</v>
      </c>
    </row>
    <row r="814" spans="1:15" x14ac:dyDescent="0.25">
      <c r="A814" s="3">
        <v>44812</v>
      </c>
      <c r="B814" s="1">
        <v>239.017</v>
      </c>
      <c r="C814" s="4">
        <f t="shared" si="48"/>
        <v>1.2072017140486002E-2</v>
      </c>
      <c r="E814" s="3">
        <v>44812</v>
      </c>
      <c r="F814" s="1">
        <v>92.05</v>
      </c>
      <c r="G814" s="4">
        <f t="shared" si="49"/>
        <v>-8.6833821773579789E-4</v>
      </c>
      <c r="I814" s="3">
        <v>44812</v>
      </c>
      <c r="J814" s="1">
        <v>98.096000000000004</v>
      </c>
      <c r="K814" s="4">
        <f t="shared" si="50"/>
        <v>2.0941659600983709E-3</v>
      </c>
      <c r="M814" s="5">
        <v>44812</v>
      </c>
      <c r="N814" s="2">
        <v>17624.400000000001</v>
      </c>
      <c r="O814" s="4">
        <f t="shared" si="51"/>
        <v>-1.7671447019640407E-3</v>
      </c>
    </row>
    <row r="815" spans="1:15" x14ac:dyDescent="0.25">
      <c r="A815" s="3">
        <v>44811</v>
      </c>
      <c r="B815" s="1">
        <v>236.166</v>
      </c>
      <c r="C815" s="4">
        <f t="shared" si="48"/>
        <v>1.8155749179173952E-3</v>
      </c>
      <c r="E815" s="3">
        <v>44811</v>
      </c>
      <c r="F815" s="1">
        <v>92.13</v>
      </c>
      <c r="G815" s="4">
        <f t="shared" si="49"/>
        <v>6.7752158234071214E-3</v>
      </c>
      <c r="I815" s="3">
        <v>44811</v>
      </c>
      <c r="J815" s="1">
        <v>97.891000000000005</v>
      </c>
      <c r="K815" s="4">
        <f t="shared" si="50"/>
        <v>9.3520580714345769E-3</v>
      </c>
      <c r="M815" s="5">
        <v>44811</v>
      </c>
      <c r="N815" s="2">
        <v>17655.599999999999</v>
      </c>
      <c r="O815" s="4">
        <f t="shared" si="51"/>
        <v>-5.773868152022521E-4</v>
      </c>
    </row>
    <row r="816" spans="1:15" x14ac:dyDescent="0.25">
      <c r="A816" s="3">
        <v>44810</v>
      </c>
      <c r="B816" s="1">
        <v>235.738</v>
      </c>
      <c r="C816" s="4">
        <f t="shared" si="48"/>
        <v>-1.8633385231501931E-2</v>
      </c>
      <c r="E816" s="3">
        <v>44810</v>
      </c>
      <c r="F816" s="1">
        <v>91.51</v>
      </c>
      <c r="G816" s="4">
        <f t="shared" si="49"/>
        <v>7.1538630860665808E-3</v>
      </c>
      <c r="I816" s="3">
        <v>44810</v>
      </c>
      <c r="J816" s="1">
        <v>96.983999999999995</v>
      </c>
      <c r="K816" s="4">
        <f t="shared" si="50"/>
        <v>2.0626211789931403E-4</v>
      </c>
      <c r="M816" s="5">
        <v>44810</v>
      </c>
      <c r="N816" s="2">
        <v>17665.8</v>
      </c>
      <c r="O816" s="4">
        <f t="shared" si="51"/>
        <v>7.2037606652430863E-3</v>
      </c>
    </row>
    <row r="817" spans="1:15" x14ac:dyDescent="0.25">
      <c r="A817" s="3">
        <v>44809</v>
      </c>
      <c r="B817" s="1">
        <v>240.214</v>
      </c>
      <c r="C817" s="4">
        <f t="shared" si="48"/>
        <v>-1.9693545170510474E-3</v>
      </c>
      <c r="E817" s="3">
        <v>44809</v>
      </c>
      <c r="F817" s="1">
        <v>90.86</v>
      </c>
      <c r="G817" s="4">
        <f t="shared" si="49"/>
        <v>1.7640573318633557E-3</v>
      </c>
      <c r="I817" s="3">
        <v>44809</v>
      </c>
      <c r="J817" s="1">
        <v>96.963999999999999</v>
      </c>
      <c r="K817" s="4">
        <f t="shared" si="50"/>
        <v>8.6705202312131746E-4</v>
      </c>
      <c r="M817" s="5">
        <v>44809</v>
      </c>
      <c r="N817" s="2">
        <v>17539.45</v>
      </c>
      <c r="O817" s="4">
        <f t="shared" si="51"/>
        <v>-1.9096153407660577E-4</v>
      </c>
    </row>
    <row r="818" spans="1:15" x14ac:dyDescent="0.25">
      <c r="A818" s="3">
        <v>44806</v>
      </c>
      <c r="B818" s="1">
        <v>240.68799999999999</v>
      </c>
      <c r="C818" s="4">
        <f t="shared" si="48"/>
        <v>4.1149013462793427E-4</v>
      </c>
      <c r="E818" s="3">
        <v>44806</v>
      </c>
      <c r="F818" s="1">
        <v>90.7</v>
      </c>
      <c r="G818" s="4">
        <f t="shared" si="49"/>
        <v>9.1232754784158487E-3</v>
      </c>
      <c r="I818" s="3">
        <v>44806</v>
      </c>
      <c r="J818" s="1">
        <v>96.88</v>
      </c>
      <c r="K818" s="4">
        <f t="shared" si="50"/>
        <v>7.4560901802147583E-3</v>
      </c>
      <c r="M818" s="5">
        <v>44806</v>
      </c>
      <c r="N818" s="2">
        <v>17542.8</v>
      </c>
      <c r="O818" s="4">
        <f t="shared" si="51"/>
        <v>-1.2190795808393329E-2</v>
      </c>
    </row>
    <row r="819" spans="1:15" x14ac:dyDescent="0.25">
      <c r="A819" s="3">
        <v>44805</v>
      </c>
      <c r="B819" s="1">
        <v>240.589</v>
      </c>
      <c r="C819" s="4">
        <f t="shared" si="48"/>
        <v>2.792609172262317E-3</v>
      </c>
      <c r="E819" s="3">
        <v>44805</v>
      </c>
      <c r="F819" s="1">
        <v>89.88</v>
      </c>
      <c r="G819" s="4">
        <f t="shared" si="49"/>
        <v>1.1127183709791488E-4</v>
      </c>
      <c r="I819" s="3">
        <v>44805</v>
      </c>
      <c r="J819" s="1">
        <v>96.162999999999997</v>
      </c>
      <c r="K819" s="4">
        <f t="shared" si="50"/>
        <v>-2.3032629558542572E-3</v>
      </c>
      <c r="M819" s="5">
        <v>44805</v>
      </c>
      <c r="N819" s="2">
        <v>17759.3</v>
      </c>
      <c r="O819" s="4">
        <f t="shared" si="51"/>
        <v>2.5784241808131325E-2</v>
      </c>
    </row>
    <row r="820" spans="1:15" x14ac:dyDescent="0.25">
      <c r="A820" s="3">
        <v>44803</v>
      </c>
      <c r="B820" s="1">
        <v>239.91900000000001</v>
      </c>
      <c r="C820" s="4">
        <f t="shared" si="48"/>
        <v>7.677736663712631E-3</v>
      </c>
      <c r="E820" s="3">
        <v>44803</v>
      </c>
      <c r="F820" s="1">
        <v>89.87</v>
      </c>
      <c r="G820" s="4">
        <f t="shared" si="49"/>
        <v>1.783524690670113E-3</v>
      </c>
      <c r="I820" s="3">
        <v>44803</v>
      </c>
      <c r="J820" s="1">
        <v>96.385000000000005</v>
      </c>
      <c r="K820" s="4">
        <f t="shared" si="50"/>
        <v>-3.7520155455409432E-3</v>
      </c>
      <c r="M820" s="5">
        <v>44803</v>
      </c>
      <c r="N820" s="2">
        <v>17312.900000000001</v>
      </c>
      <c r="O820" s="4">
        <f t="shared" si="51"/>
        <v>-1.400998923622776E-2</v>
      </c>
    </row>
    <row r="821" spans="1:15" x14ac:dyDescent="0.25">
      <c r="A821" s="3">
        <v>44802</v>
      </c>
      <c r="B821" s="1">
        <v>238.09100000000001</v>
      </c>
      <c r="C821" s="4">
        <f t="shared" si="48"/>
        <v>2.7924254932021331E-3</v>
      </c>
      <c r="E821" s="3">
        <v>44802</v>
      </c>
      <c r="F821" s="1">
        <v>89.71</v>
      </c>
      <c r="G821" s="4">
        <f t="shared" si="49"/>
        <v>7.0722945666816805E-3</v>
      </c>
      <c r="I821" s="3">
        <v>44802</v>
      </c>
      <c r="J821" s="1">
        <v>96.748000000000005</v>
      </c>
      <c r="K821" s="4">
        <f t="shared" si="50"/>
        <v>2.2814250977904571E-2</v>
      </c>
      <c r="M821" s="5">
        <v>44802</v>
      </c>
      <c r="N821" s="2">
        <v>17558.900000000001</v>
      </c>
      <c r="O821" s="4">
        <f t="shared" si="51"/>
        <v>2.0801885581069879E-3</v>
      </c>
    </row>
    <row r="822" spans="1:15" x14ac:dyDescent="0.25">
      <c r="A822" s="3">
        <v>44799</v>
      </c>
      <c r="B822" s="1">
        <v>237.428</v>
      </c>
      <c r="C822" s="4">
        <f t="shared" si="48"/>
        <v>8.2296488173594362E-3</v>
      </c>
      <c r="E822" s="3">
        <v>44799</v>
      </c>
      <c r="F822" s="1">
        <v>89.08</v>
      </c>
      <c r="G822" s="4">
        <f t="shared" si="49"/>
        <v>-4.4883303411136222E-4</v>
      </c>
      <c r="I822" s="3">
        <v>44799</v>
      </c>
      <c r="J822" s="1">
        <v>94.59</v>
      </c>
      <c r="K822" s="4">
        <f t="shared" si="50"/>
        <v>-1.069938188321673E-2</v>
      </c>
      <c r="M822" s="5">
        <v>44799</v>
      </c>
      <c r="N822" s="2">
        <v>17522.45</v>
      </c>
      <c r="O822" s="4">
        <f t="shared" si="51"/>
        <v>-4.6861820113093255E-3</v>
      </c>
    </row>
    <row r="823" spans="1:15" x14ac:dyDescent="0.25">
      <c r="A823" s="3">
        <v>44798</v>
      </c>
      <c r="B823" s="1">
        <v>235.49</v>
      </c>
      <c r="C823" s="4">
        <f t="shared" si="48"/>
        <v>2.6824491186239197E-3</v>
      </c>
      <c r="E823" s="3">
        <v>44798</v>
      </c>
      <c r="F823" s="1">
        <v>89.12</v>
      </c>
      <c r="G823" s="4">
        <f t="shared" si="49"/>
        <v>-6.3552235477756236E-3</v>
      </c>
      <c r="I823" s="3">
        <v>44798</v>
      </c>
      <c r="J823" s="1">
        <v>95.613</v>
      </c>
      <c r="K823" s="4">
        <f t="shared" si="50"/>
        <v>3.0633333683030006E-3</v>
      </c>
      <c r="M823" s="5">
        <v>44798</v>
      </c>
      <c r="N823" s="2">
        <v>17604.95</v>
      </c>
      <c r="O823" s="4">
        <f t="shared" si="51"/>
        <v>1.5616555255297815E-3</v>
      </c>
    </row>
    <row r="824" spans="1:15" x14ac:dyDescent="0.25">
      <c r="A824" s="3">
        <v>44797</v>
      </c>
      <c r="B824" s="1">
        <v>234.86</v>
      </c>
      <c r="C824" s="4">
        <f t="shared" si="48"/>
        <v>2.4457182856922888E-3</v>
      </c>
      <c r="E824" s="3">
        <v>44797</v>
      </c>
      <c r="F824" s="1">
        <v>89.69</v>
      </c>
      <c r="G824" s="4">
        <f t="shared" si="49"/>
        <v>2.1991795806745484E-2</v>
      </c>
      <c r="I824" s="3">
        <v>44797</v>
      </c>
      <c r="J824" s="1">
        <v>95.320999999999998</v>
      </c>
      <c r="K824" s="4">
        <f t="shared" si="50"/>
        <v>-1.9161501088960087E-3</v>
      </c>
      <c r="M824" s="5">
        <v>44797</v>
      </c>
      <c r="N824" s="2">
        <v>17577.5</v>
      </c>
      <c r="O824" s="4">
        <f t="shared" si="51"/>
        <v>4.9626372872439983E-3</v>
      </c>
    </row>
    <row r="825" spans="1:15" x14ac:dyDescent="0.25">
      <c r="A825" s="3">
        <v>44796</v>
      </c>
      <c r="B825" s="1">
        <v>234.28700000000001</v>
      </c>
      <c r="C825" s="4">
        <f t="shared" si="48"/>
        <v>8.4494068628295782E-3</v>
      </c>
      <c r="E825" s="3">
        <v>44796</v>
      </c>
      <c r="F825" s="1">
        <v>87.76</v>
      </c>
      <c r="G825" s="4">
        <f t="shared" si="49"/>
        <v>-1.0374379792512434E-2</v>
      </c>
      <c r="I825" s="3">
        <v>44796</v>
      </c>
      <c r="J825" s="1">
        <v>95.504000000000005</v>
      </c>
      <c r="K825" s="4">
        <f t="shared" si="50"/>
        <v>2.2878492118465488E-3</v>
      </c>
      <c r="M825" s="5">
        <v>44796</v>
      </c>
      <c r="N825" s="2">
        <v>17490.7</v>
      </c>
      <c r="O825" s="4">
        <f t="shared" si="51"/>
        <v>-1.5077329384039717E-2</v>
      </c>
    </row>
    <row r="826" spans="1:15" x14ac:dyDescent="0.25">
      <c r="A826" s="3">
        <v>44795</v>
      </c>
      <c r="B826" s="1">
        <v>232.32400000000001</v>
      </c>
      <c r="C826" s="4">
        <f t="shared" si="48"/>
        <v>2.5892872555282054E-3</v>
      </c>
      <c r="E826" s="3">
        <v>44795</v>
      </c>
      <c r="F826" s="1">
        <v>88.68</v>
      </c>
      <c r="G826" s="4">
        <f t="shared" si="49"/>
        <v>4.8725212464590939E-3</v>
      </c>
      <c r="I826" s="3">
        <v>44795</v>
      </c>
      <c r="J826" s="1">
        <v>95.286000000000001</v>
      </c>
      <c r="K826" s="4">
        <f t="shared" si="50"/>
        <v>7.5711113460930068E-3</v>
      </c>
      <c r="M826" s="5">
        <v>44795</v>
      </c>
      <c r="N826" s="2">
        <v>17758.45</v>
      </c>
      <c r="O826" s="4">
        <f t="shared" si="51"/>
        <v>-1.1029432239022086E-2</v>
      </c>
    </row>
    <row r="827" spans="1:15" x14ac:dyDescent="0.25">
      <c r="A827" s="3">
        <v>44792</v>
      </c>
      <c r="B827" s="1">
        <v>231.72399999999999</v>
      </c>
      <c r="C827" s="4">
        <f t="shared" si="48"/>
        <v>-2.1702809308095095E-3</v>
      </c>
      <c r="E827" s="3">
        <v>44792</v>
      </c>
      <c r="F827" s="1">
        <v>88.25</v>
      </c>
      <c r="G827" s="4">
        <f t="shared" si="49"/>
        <v>-2.0355083116589956E-3</v>
      </c>
      <c r="I827" s="3">
        <v>44792</v>
      </c>
      <c r="J827" s="1">
        <v>94.57</v>
      </c>
      <c r="K827" s="4">
        <f t="shared" si="50"/>
        <v>-1.5018955963837954E-2</v>
      </c>
      <c r="M827" s="5">
        <v>44792</v>
      </c>
      <c r="N827" s="2">
        <v>17956.5</v>
      </c>
      <c r="O827" s="4">
        <f t="shared" si="51"/>
        <v>6.826699360520383E-4</v>
      </c>
    </row>
    <row r="828" spans="1:15" x14ac:dyDescent="0.25">
      <c r="A828" s="3">
        <v>44791</v>
      </c>
      <c r="B828" s="1">
        <v>232.22800000000001</v>
      </c>
      <c r="C828" s="4">
        <f t="shared" si="48"/>
        <v>2.0315987416741343E-2</v>
      </c>
      <c r="E828" s="3">
        <v>44791</v>
      </c>
      <c r="F828" s="1">
        <v>88.43</v>
      </c>
      <c r="G828" s="4">
        <f t="shared" si="49"/>
        <v>3.404062180869305E-3</v>
      </c>
      <c r="I828" s="3">
        <v>44791</v>
      </c>
      <c r="J828" s="1">
        <v>96.012</v>
      </c>
      <c r="K828" s="4">
        <f t="shared" si="50"/>
        <v>-1.1713844570252263E-2</v>
      </c>
      <c r="M828" s="5">
        <v>44791</v>
      </c>
      <c r="N828" s="2">
        <v>17944.25</v>
      </c>
      <c r="O828" s="4">
        <f t="shared" si="51"/>
        <v>6.6759231988331447E-3</v>
      </c>
    </row>
    <row r="829" spans="1:15" x14ac:dyDescent="0.25">
      <c r="A829" s="3">
        <v>44790</v>
      </c>
      <c r="B829" s="1">
        <v>227.60400000000001</v>
      </c>
      <c r="C829" s="4">
        <f t="shared" si="48"/>
        <v>-8.935102936565964E-3</v>
      </c>
      <c r="E829" s="3">
        <v>44790</v>
      </c>
      <c r="F829" s="1">
        <v>88.13</v>
      </c>
      <c r="G829" s="4">
        <f t="shared" si="49"/>
        <v>6.3948840927259276E-3</v>
      </c>
      <c r="I829" s="3">
        <v>44790</v>
      </c>
      <c r="J829" s="1">
        <v>97.15</v>
      </c>
      <c r="K829" s="4">
        <f t="shared" si="50"/>
        <v>2.1662884258304427E-3</v>
      </c>
      <c r="M829" s="5">
        <v>44790</v>
      </c>
      <c r="N829" s="2">
        <v>17825.25</v>
      </c>
      <c r="O829" s="4">
        <f t="shared" si="51"/>
        <v>7.1815415735541066E-3</v>
      </c>
    </row>
    <row r="830" spans="1:15" x14ac:dyDescent="0.25">
      <c r="A830" s="3">
        <v>44789</v>
      </c>
      <c r="B830" s="1">
        <v>229.65600000000001</v>
      </c>
      <c r="C830" s="4">
        <f t="shared" si="48"/>
        <v>4.6721612683080505E-3</v>
      </c>
      <c r="E830" s="3">
        <v>44789</v>
      </c>
      <c r="F830" s="1">
        <v>87.57</v>
      </c>
      <c r="G830" s="4">
        <f t="shared" si="49"/>
        <v>-1.5735641227380026E-2</v>
      </c>
      <c r="I830" s="3">
        <v>44789</v>
      </c>
      <c r="J830" s="1">
        <v>96.94</v>
      </c>
      <c r="K830" s="4">
        <f t="shared" si="50"/>
        <v>4.3202138350444397E-3</v>
      </c>
      <c r="M830" s="5">
        <v>44789</v>
      </c>
      <c r="N830" s="2">
        <v>17698.150000000001</v>
      </c>
      <c r="O830" s="4">
        <f t="shared" si="51"/>
        <v>2.2169998301151406E-3</v>
      </c>
    </row>
    <row r="831" spans="1:15" x14ac:dyDescent="0.25">
      <c r="A831" s="3">
        <v>44785</v>
      </c>
      <c r="B831" s="1">
        <v>228.58799999999999</v>
      </c>
      <c r="C831" s="4">
        <f t="shared" si="48"/>
        <v>3.1905416021171806E-3</v>
      </c>
      <c r="E831" s="3">
        <v>44785</v>
      </c>
      <c r="F831" s="1">
        <v>88.97</v>
      </c>
      <c r="G831" s="4">
        <f t="shared" si="49"/>
        <v>-9.7941012799108718E-3</v>
      </c>
      <c r="I831" s="3">
        <v>44785</v>
      </c>
      <c r="J831" s="1">
        <v>96.522999999999996</v>
      </c>
      <c r="K831" s="4">
        <f t="shared" si="50"/>
        <v>7.399753689439903E-3</v>
      </c>
      <c r="M831" s="5">
        <v>44785</v>
      </c>
      <c r="N831" s="2">
        <v>17659</v>
      </c>
      <c r="O831" s="4">
        <f t="shared" si="51"/>
        <v>7.0859293688247948E-3</v>
      </c>
    </row>
    <row r="832" spans="1:15" x14ac:dyDescent="0.25">
      <c r="A832" s="3">
        <v>44784</v>
      </c>
      <c r="B832" s="1">
        <v>227.86099999999999</v>
      </c>
      <c r="C832" s="4">
        <f t="shared" si="48"/>
        <v>3.1477551882930221E-3</v>
      </c>
      <c r="E832" s="3">
        <v>44784</v>
      </c>
      <c r="F832" s="1">
        <v>89.85</v>
      </c>
      <c r="G832" s="4">
        <f t="shared" si="49"/>
        <v>3.3400133600536286E-4</v>
      </c>
      <c r="I832" s="3">
        <v>44784</v>
      </c>
      <c r="J832" s="1">
        <v>95.813999999999993</v>
      </c>
      <c r="K832" s="4">
        <f t="shared" si="50"/>
        <v>3.8135149292821691E-3</v>
      </c>
      <c r="M832" s="5">
        <v>44784</v>
      </c>
      <c r="N832" s="2">
        <v>17534.75</v>
      </c>
      <c r="O832" s="4">
        <f t="shared" si="51"/>
        <v>5.5063879806693805E-4</v>
      </c>
    </row>
    <row r="833" spans="1:15" x14ac:dyDescent="0.25">
      <c r="A833" s="3">
        <v>44783</v>
      </c>
      <c r="B833" s="1">
        <v>227.14599999999999</v>
      </c>
      <c r="C833" s="4">
        <f t="shared" si="48"/>
        <v>3.1576948386040637E-3</v>
      </c>
      <c r="E833" s="3">
        <v>44783</v>
      </c>
      <c r="F833" s="1">
        <v>89.82</v>
      </c>
      <c r="G833" s="4">
        <f t="shared" si="49"/>
        <v>4.6979865771810125E-3</v>
      </c>
      <c r="I833" s="3">
        <v>44783</v>
      </c>
      <c r="J833" s="1">
        <v>95.45</v>
      </c>
      <c r="K833" s="4">
        <f t="shared" si="50"/>
        <v>8.0261907276375499E-3</v>
      </c>
      <c r="M833" s="5">
        <v>44783</v>
      </c>
      <c r="N833" s="2">
        <v>17525.099999999999</v>
      </c>
      <c r="O833" s="4">
        <f t="shared" si="51"/>
        <v>7.3343871245867831E-3</v>
      </c>
    </row>
    <row r="834" spans="1:15" x14ac:dyDescent="0.25">
      <c r="A834" s="3">
        <v>44781</v>
      </c>
      <c r="B834" s="1">
        <v>226.43100000000001</v>
      </c>
      <c r="C834" s="4">
        <f t="shared" si="48"/>
        <v>-1.2946761348032521E-2</v>
      </c>
      <c r="E834" s="3">
        <v>44781</v>
      </c>
      <c r="F834" s="1">
        <v>89.4</v>
      </c>
      <c r="G834" s="4">
        <f t="shared" si="49"/>
        <v>1.0740531373657491E-2</v>
      </c>
      <c r="I834" s="3">
        <v>44781</v>
      </c>
      <c r="J834" s="1">
        <v>94.69</v>
      </c>
      <c r="K834" s="4">
        <f t="shared" si="50"/>
        <v>-3.3783070458814901E-4</v>
      </c>
      <c r="M834" s="5">
        <v>44781</v>
      </c>
      <c r="N834" s="2">
        <v>17397.5</v>
      </c>
      <c r="O834" s="4">
        <f t="shared" si="51"/>
        <v>8.9172707398454953E-4</v>
      </c>
    </row>
    <row r="835" spans="1:15" x14ac:dyDescent="0.25">
      <c r="A835" s="3">
        <v>44778</v>
      </c>
      <c r="B835" s="1">
        <v>229.40100000000001</v>
      </c>
      <c r="C835" s="4">
        <f t="shared" ref="C835:C898" si="52">(B835/B836)-1</f>
        <v>-8.4716093032100037E-3</v>
      </c>
      <c r="E835" s="3">
        <v>44778</v>
      </c>
      <c r="F835" s="1">
        <v>88.45</v>
      </c>
      <c r="G835" s="4">
        <f t="shared" ref="G835:G898" si="53">(F835/F836)-1</f>
        <v>2.2662889518414442E-3</v>
      </c>
      <c r="I835" s="3">
        <v>44778</v>
      </c>
      <c r="J835" s="1">
        <v>94.721999999999994</v>
      </c>
      <c r="K835" s="4">
        <f t="shared" ref="K835:K898" si="54">(J835/J836)-1</f>
        <v>4.5070362789907392E-3</v>
      </c>
      <c r="M835" s="5">
        <v>44778</v>
      </c>
      <c r="N835" s="2">
        <v>17382</v>
      </c>
      <c r="O835" s="4">
        <f t="shared" ref="O835:O898" si="55">(N835/N836)-1</f>
        <v>-3.5368915036970705E-4</v>
      </c>
    </row>
    <row r="836" spans="1:15" x14ac:dyDescent="0.25">
      <c r="A836" s="3">
        <v>44777</v>
      </c>
      <c r="B836" s="1">
        <v>231.36099999999999</v>
      </c>
      <c r="C836" s="4">
        <f t="shared" si="52"/>
        <v>1.8589128386015119E-4</v>
      </c>
      <c r="E836" s="3">
        <v>44777</v>
      </c>
      <c r="F836" s="1">
        <v>88.25</v>
      </c>
      <c r="G836" s="4">
        <f t="shared" si="53"/>
        <v>5.8126282197401569E-3</v>
      </c>
      <c r="I836" s="3">
        <v>44777</v>
      </c>
      <c r="J836" s="1">
        <v>94.296999999999997</v>
      </c>
      <c r="K836" s="4">
        <f t="shared" si="54"/>
        <v>2.3491645052935439E-3</v>
      </c>
      <c r="M836" s="5">
        <v>44777</v>
      </c>
      <c r="N836" s="2">
        <v>17388.150000000001</v>
      </c>
      <c r="O836" s="4">
        <f t="shared" si="55"/>
        <v>2.4617406870390823E-3</v>
      </c>
    </row>
    <row r="837" spans="1:15" x14ac:dyDescent="0.25">
      <c r="A837" s="3">
        <v>44776</v>
      </c>
      <c r="B837" s="1">
        <v>231.31800000000001</v>
      </c>
      <c r="C837" s="4">
        <f t="shared" si="52"/>
        <v>6.124135531294872E-3</v>
      </c>
      <c r="E837" s="3">
        <v>44776</v>
      </c>
      <c r="F837" s="1">
        <v>87.74</v>
      </c>
      <c r="G837" s="4">
        <f t="shared" si="53"/>
        <v>2.6282710547365085E-3</v>
      </c>
      <c r="I837" s="3">
        <v>44776</v>
      </c>
      <c r="J837" s="1">
        <v>94.075999999999993</v>
      </c>
      <c r="K837" s="4">
        <f t="shared" si="54"/>
        <v>1.0960595064539724E-3</v>
      </c>
      <c r="M837" s="5">
        <v>44776</v>
      </c>
      <c r="N837" s="2">
        <v>17345.45</v>
      </c>
      <c r="O837" s="4">
        <f t="shared" si="55"/>
        <v>3.1141778714594004E-4</v>
      </c>
    </row>
    <row r="838" spans="1:15" x14ac:dyDescent="0.25">
      <c r="A838" s="3">
        <v>44775</v>
      </c>
      <c r="B838" s="1">
        <v>229.91</v>
      </c>
      <c r="C838" s="4">
        <f t="shared" si="52"/>
        <v>4.5528426866141558E-3</v>
      </c>
      <c r="E838" s="3">
        <v>44775</v>
      </c>
      <c r="F838" s="1">
        <v>87.51</v>
      </c>
      <c r="G838" s="4">
        <f t="shared" si="53"/>
        <v>5.6308894507011154E-3</v>
      </c>
      <c r="I838" s="3">
        <v>44775</v>
      </c>
      <c r="J838" s="1">
        <v>93.972999999999999</v>
      </c>
      <c r="K838" s="4">
        <f t="shared" si="54"/>
        <v>-2.1237509689614464E-3</v>
      </c>
      <c r="M838" s="5">
        <v>44775</v>
      </c>
      <c r="N838" s="2">
        <v>17340.05</v>
      </c>
      <c r="O838" s="4">
        <f t="shared" si="55"/>
        <v>1.0595486136406596E-2</v>
      </c>
    </row>
    <row r="839" spans="1:15" x14ac:dyDescent="0.25">
      <c r="A839" s="3">
        <v>44774</v>
      </c>
      <c r="B839" s="1">
        <v>228.86799999999999</v>
      </c>
      <c r="C839" s="4">
        <f t="shared" si="52"/>
        <v>1.2774744505110736E-3</v>
      </c>
      <c r="E839" s="3">
        <v>44774</v>
      </c>
      <c r="F839" s="1">
        <v>87.02</v>
      </c>
      <c r="G839" s="4">
        <f t="shared" si="53"/>
        <v>1.4961445505812243E-3</v>
      </c>
      <c r="I839" s="3">
        <v>44774</v>
      </c>
      <c r="J839" s="1">
        <v>94.173000000000002</v>
      </c>
      <c r="K839" s="4">
        <f t="shared" si="54"/>
        <v>1.6486204769299295E-3</v>
      </c>
      <c r="M839" s="5">
        <v>44774</v>
      </c>
      <c r="N839" s="2">
        <v>17158.25</v>
      </c>
      <c r="O839" s="4">
        <f t="shared" si="55"/>
        <v>1.3505930441357172E-2</v>
      </c>
    </row>
    <row r="840" spans="1:15" x14ac:dyDescent="0.25">
      <c r="A840" s="3">
        <v>44771</v>
      </c>
      <c r="B840" s="1">
        <v>228.57599999999999</v>
      </c>
      <c r="C840" s="4">
        <f t="shared" si="52"/>
        <v>7.1512603931209728E-3</v>
      </c>
      <c r="E840" s="3">
        <v>44771</v>
      </c>
      <c r="F840" s="1">
        <v>86.89</v>
      </c>
      <c r="G840" s="4">
        <f t="shared" si="53"/>
        <v>3.4538337554690379E-4</v>
      </c>
      <c r="I840" s="3">
        <v>44771</v>
      </c>
      <c r="J840" s="1">
        <v>94.018000000000001</v>
      </c>
      <c r="K840" s="4">
        <f t="shared" si="54"/>
        <v>1.0109909000075135E-2</v>
      </c>
      <c r="M840" s="5">
        <v>44771</v>
      </c>
      <c r="N840" s="2">
        <v>16929.599999999999</v>
      </c>
      <c r="O840" s="4">
        <f t="shared" si="55"/>
        <v>1.7293802353110843E-2</v>
      </c>
    </row>
    <row r="841" spans="1:15" x14ac:dyDescent="0.25">
      <c r="A841" s="3">
        <v>44770</v>
      </c>
      <c r="B841" s="1">
        <v>226.953</v>
      </c>
      <c r="C841" s="4">
        <f t="shared" si="52"/>
        <v>-2.53592932800073E-3</v>
      </c>
      <c r="E841" s="3">
        <v>44770</v>
      </c>
      <c r="F841" s="1">
        <v>86.86</v>
      </c>
      <c r="G841" s="4">
        <f t="shared" si="53"/>
        <v>1.2680115273775439E-3</v>
      </c>
      <c r="I841" s="3">
        <v>44770</v>
      </c>
      <c r="J841" s="1">
        <v>93.076999999999998</v>
      </c>
      <c r="K841" s="4">
        <f t="shared" si="54"/>
        <v>1.06519284225155E-2</v>
      </c>
      <c r="M841" s="5">
        <v>44770</v>
      </c>
      <c r="N841" s="2">
        <v>16641.8</v>
      </c>
      <c r="O841" s="4">
        <f t="shared" si="55"/>
        <v>9.5821061220529025E-3</v>
      </c>
    </row>
    <row r="842" spans="1:15" x14ac:dyDescent="0.25">
      <c r="A842" s="3">
        <v>44769</v>
      </c>
      <c r="B842" s="1">
        <v>227.53</v>
      </c>
      <c r="C842" s="4">
        <f t="shared" si="52"/>
        <v>2.303893712528593E-3</v>
      </c>
      <c r="E842" s="3">
        <v>44769</v>
      </c>
      <c r="F842" s="1">
        <v>86.75</v>
      </c>
      <c r="G842" s="4">
        <f t="shared" si="53"/>
        <v>1.8477884282248613E-3</v>
      </c>
      <c r="I842" s="3">
        <v>44769</v>
      </c>
      <c r="J842" s="1">
        <v>92.096000000000004</v>
      </c>
      <c r="K842" s="4">
        <f t="shared" si="54"/>
        <v>1.0145770036524837E-2</v>
      </c>
      <c r="M842" s="5">
        <v>44769</v>
      </c>
      <c r="N842" s="2">
        <v>16483.849999999999</v>
      </c>
      <c r="O842" s="4">
        <f t="shared" si="55"/>
        <v>-8.8479345800013265E-3</v>
      </c>
    </row>
    <row r="843" spans="1:15" x14ac:dyDescent="0.25">
      <c r="A843" s="3">
        <v>44768</v>
      </c>
      <c r="B843" s="1">
        <v>227.00700000000001</v>
      </c>
      <c r="C843" s="4">
        <f t="shared" si="52"/>
        <v>4.8959499957945685E-3</v>
      </c>
      <c r="E843" s="3">
        <v>44768</v>
      </c>
      <c r="F843" s="1">
        <v>86.59</v>
      </c>
      <c r="G843" s="4">
        <f t="shared" si="53"/>
        <v>9.9136925588991787E-3</v>
      </c>
      <c r="I843" s="3">
        <v>44768</v>
      </c>
      <c r="J843" s="1">
        <v>91.171000000000006</v>
      </c>
      <c r="K843" s="4">
        <f t="shared" si="54"/>
        <v>1.0764966740576476E-2</v>
      </c>
      <c r="M843" s="5">
        <v>44768</v>
      </c>
      <c r="N843" s="2">
        <v>16631</v>
      </c>
      <c r="O843" s="4">
        <f t="shared" si="55"/>
        <v>-5.2902457915781076E-3</v>
      </c>
    </row>
    <row r="844" spans="1:15" x14ac:dyDescent="0.25">
      <c r="A844" s="3">
        <v>44767</v>
      </c>
      <c r="B844" s="1">
        <v>225.90100000000001</v>
      </c>
      <c r="C844" s="4">
        <f t="shared" si="52"/>
        <v>2.7832772534779338E-3</v>
      </c>
      <c r="E844" s="3">
        <v>44767</v>
      </c>
      <c r="F844" s="1">
        <v>85.74</v>
      </c>
      <c r="G844" s="4">
        <f t="shared" si="53"/>
        <v>1.1323425336164039E-2</v>
      </c>
      <c r="I844" s="3">
        <v>44767</v>
      </c>
      <c r="J844" s="1">
        <v>90.2</v>
      </c>
      <c r="K844" s="4">
        <f t="shared" si="54"/>
        <v>-9.5965917825064917E-3</v>
      </c>
      <c r="M844" s="5">
        <v>44767</v>
      </c>
      <c r="N844" s="2">
        <v>16719.45</v>
      </c>
      <c r="O844" s="4">
        <f t="shared" si="55"/>
        <v>6.8773430089881238E-3</v>
      </c>
    </row>
    <row r="845" spans="1:15" x14ac:dyDescent="0.25">
      <c r="A845" s="3">
        <v>44764</v>
      </c>
      <c r="B845" s="1">
        <v>225.274</v>
      </c>
      <c r="C845" s="4">
        <f t="shared" si="52"/>
        <v>9.1083178936246512E-4</v>
      </c>
      <c r="E845" s="3">
        <v>44764</v>
      </c>
      <c r="F845" s="1">
        <v>84.78</v>
      </c>
      <c r="G845" s="4">
        <f t="shared" si="53"/>
        <v>8.2054941134499515E-3</v>
      </c>
      <c r="I845" s="3">
        <v>44764</v>
      </c>
      <c r="J845" s="1">
        <v>91.073999999999998</v>
      </c>
      <c r="K845" s="4">
        <f t="shared" si="54"/>
        <v>-4.8732517482517057E-3</v>
      </c>
      <c r="M845" s="5">
        <v>44764</v>
      </c>
      <c r="N845" s="2">
        <v>16605.25</v>
      </c>
      <c r="O845" s="4">
        <f t="shared" si="55"/>
        <v>5.1086959811390553E-3</v>
      </c>
    </row>
    <row r="846" spans="1:15" x14ac:dyDescent="0.25">
      <c r="A846" s="3">
        <v>44763</v>
      </c>
      <c r="B846" s="1">
        <v>225.06899999999999</v>
      </c>
      <c r="C846" s="4">
        <f t="shared" si="52"/>
        <v>5.3790209292814417E-4</v>
      </c>
      <c r="E846" s="3">
        <v>44763</v>
      </c>
      <c r="F846" s="1">
        <v>84.09</v>
      </c>
      <c r="G846" s="4">
        <f t="shared" si="53"/>
        <v>9.8474840879068104E-3</v>
      </c>
      <c r="I846" s="3">
        <v>44763</v>
      </c>
      <c r="J846" s="1">
        <v>91.52</v>
      </c>
      <c r="K846" s="4">
        <f t="shared" si="54"/>
        <v>5.3938854650714685E-3</v>
      </c>
      <c r="M846" s="5">
        <v>44763</v>
      </c>
      <c r="N846" s="2">
        <v>16520.849999999999</v>
      </c>
      <c r="O846" s="4">
        <f t="shared" si="55"/>
        <v>1.1033900327712232E-2</v>
      </c>
    </row>
    <row r="847" spans="1:15" x14ac:dyDescent="0.25">
      <c r="A847" s="3">
        <v>44762</v>
      </c>
      <c r="B847" s="1">
        <v>224.94800000000001</v>
      </c>
      <c r="C847" s="4">
        <f t="shared" si="52"/>
        <v>9.9673143924428054E-3</v>
      </c>
      <c r="E847" s="3">
        <v>44762</v>
      </c>
      <c r="F847" s="1">
        <v>83.27</v>
      </c>
      <c r="G847" s="4">
        <f t="shared" si="53"/>
        <v>-1.0339909674352277E-2</v>
      </c>
      <c r="I847" s="3">
        <v>44762</v>
      </c>
      <c r="J847" s="1">
        <v>91.028999999999996</v>
      </c>
      <c r="K847" s="4">
        <f t="shared" si="54"/>
        <v>9.4480854319836105E-3</v>
      </c>
      <c r="M847" s="5">
        <v>44762</v>
      </c>
      <c r="N847" s="2">
        <v>16340.55</v>
      </c>
      <c r="O847" s="4">
        <f t="shared" si="55"/>
        <v>3.8117762693121726E-3</v>
      </c>
    </row>
    <row r="848" spans="1:15" x14ac:dyDescent="0.25">
      <c r="A848" s="3">
        <v>44761</v>
      </c>
      <c r="B848" s="1">
        <v>222.72800000000001</v>
      </c>
      <c r="C848" s="4">
        <f t="shared" si="52"/>
        <v>7.9102181192869381E-3</v>
      </c>
      <c r="E848" s="3">
        <v>44761</v>
      </c>
      <c r="F848" s="1">
        <v>84.14</v>
      </c>
      <c r="G848" s="4">
        <f t="shared" si="53"/>
        <v>-3.0805687203792065E-3</v>
      </c>
      <c r="I848" s="3">
        <v>44761</v>
      </c>
      <c r="J848" s="1">
        <v>90.177000000000007</v>
      </c>
      <c r="K848" s="4">
        <f t="shared" si="54"/>
        <v>7.5304738388657366E-3</v>
      </c>
      <c r="M848" s="5">
        <v>44761</v>
      </c>
      <c r="N848" s="2">
        <v>16278.5</v>
      </c>
      <c r="O848" s="4">
        <f t="shared" si="55"/>
        <v>1.4287316501756964E-2</v>
      </c>
    </row>
    <row r="849" spans="1:15" x14ac:dyDescent="0.25">
      <c r="A849" s="3">
        <v>44760</v>
      </c>
      <c r="B849" s="1">
        <v>220.98</v>
      </c>
      <c r="C849" s="4">
        <f t="shared" si="52"/>
        <v>6.2108407402010624E-3</v>
      </c>
      <c r="E849" s="3">
        <v>44760</v>
      </c>
      <c r="F849" s="1">
        <v>84.4</v>
      </c>
      <c r="G849" s="4">
        <f t="shared" si="53"/>
        <v>5.480104836788291E-3</v>
      </c>
      <c r="I849" s="3">
        <v>44760</v>
      </c>
      <c r="J849" s="1">
        <v>89.503</v>
      </c>
      <c r="K849" s="4">
        <f t="shared" si="54"/>
        <v>7.7918275889248267E-3</v>
      </c>
      <c r="M849" s="5">
        <v>44760</v>
      </c>
      <c r="N849" s="2">
        <v>16049.2</v>
      </c>
      <c r="O849" s="4">
        <f t="shared" si="55"/>
        <v>6.9359701103921534E-3</v>
      </c>
    </row>
    <row r="850" spans="1:15" x14ac:dyDescent="0.25">
      <c r="A850" s="3">
        <v>44757</v>
      </c>
      <c r="B850" s="1">
        <v>219.61600000000001</v>
      </c>
      <c r="C850" s="4">
        <f t="shared" si="52"/>
        <v>4.2756343715275591E-3</v>
      </c>
      <c r="E850" s="3">
        <v>44757</v>
      </c>
      <c r="F850" s="1">
        <v>83.94</v>
      </c>
      <c r="G850" s="4">
        <f t="shared" si="53"/>
        <v>7.9250720461094826E-3</v>
      </c>
      <c r="I850" s="3">
        <v>44757</v>
      </c>
      <c r="J850" s="1">
        <v>88.811000000000007</v>
      </c>
      <c r="K850" s="4">
        <f t="shared" si="54"/>
        <v>1.5110471030643779E-2</v>
      </c>
      <c r="M850" s="5">
        <v>44757</v>
      </c>
      <c r="N850" s="2">
        <v>15938.65</v>
      </c>
      <c r="O850" s="4">
        <f t="shared" si="55"/>
        <v>-1.7536552752143164E-3</v>
      </c>
    </row>
    <row r="851" spans="1:15" x14ac:dyDescent="0.25">
      <c r="A851" s="3">
        <v>44756</v>
      </c>
      <c r="B851" s="1">
        <v>218.68100000000001</v>
      </c>
      <c r="C851" s="4">
        <f t="shared" si="52"/>
        <v>-6.6050378177027191E-3</v>
      </c>
      <c r="E851" s="3">
        <v>44756</v>
      </c>
      <c r="F851" s="1">
        <v>83.28</v>
      </c>
      <c r="G851" s="4">
        <f t="shared" si="53"/>
        <v>7.3787347284384186E-3</v>
      </c>
      <c r="I851" s="3">
        <v>44756</v>
      </c>
      <c r="J851" s="1">
        <v>87.489000000000004</v>
      </c>
      <c r="K851" s="4">
        <f t="shared" si="54"/>
        <v>5.7825397190351957E-3</v>
      </c>
      <c r="M851" s="5">
        <v>44756</v>
      </c>
      <c r="N851" s="2">
        <v>15966.65</v>
      </c>
      <c r="O851" s="4">
        <f t="shared" si="55"/>
        <v>-5.7073289202468347E-3</v>
      </c>
    </row>
    <row r="852" spans="1:15" x14ac:dyDescent="0.25">
      <c r="A852" s="3">
        <v>44755</v>
      </c>
      <c r="B852" s="1">
        <v>220.13499999999999</v>
      </c>
      <c r="C852" s="4">
        <f t="shared" si="52"/>
        <v>1.1187462765303025E-3</v>
      </c>
      <c r="E852" s="3">
        <v>44755</v>
      </c>
      <c r="F852" s="1">
        <v>82.67</v>
      </c>
      <c r="G852" s="4">
        <f t="shared" si="53"/>
        <v>6.2074001947420854E-3</v>
      </c>
      <c r="I852" s="3">
        <v>44755</v>
      </c>
      <c r="J852" s="1">
        <v>86.986000000000004</v>
      </c>
      <c r="K852" s="4">
        <f t="shared" si="54"/>
        <v>-1.0221073786964574E-3</v>
      </c>
      <c r="M852" s="5">
        <v>44755</v>
      </c>
      <c r="N852" s="2">
        <v>16058.3</v>
      </c>
      <c r="O852" s="4">
        <f t="shared" si="55"/>
        <v>-9.7249629995067588E-3</v>
      </c>
    </row>
    <row r="853" spans="1:15" x14ac:dyDescent="0.25">
      <c r="A853" s="3">
        <v>44754</v>
      </c>
      <c r="B853" s="1">
        <v>219.88900000000001</v>
      </c>
      <c r="C853" s="4">
        <f t="shared" si="52"/>
        <v>2.9876752693469566E-3</v>
      </c>
      <c r="E853" s="3">
        <v>44754</v>
      </c>
      <c r="F853" s="1">
        <v>82.16</v>
      </c>
      <c r="G853" s="4">
        <f t="shared" si="53"/>
        <v>1.3695249845774304E-2</v>
      </c>
      <c r="I853" s="3">
        <v>44754</v>
      </c>
      <c r="J853" s="1">
        <v>87.075000000000003</v>
      </c>
      <c r="K853" s="4">
        <f t="shared" si="54"/>
        <v>-2.9427930197406527E-3</v>
      </c>
      <c r="M853" s="5">
        <v>44754</v>
      </c>
      <c r="N853" s="2">
        <v>16216</v>
      </c>
      <c r="O853" s="4">
        <f t="shared" si="55"/>
        <v>-2.8359000283595392E-4</v>
      </c>
    </row>
    <row r="854" spans="1:15" x14ac:dyDescent="0.25">
      <c r="A854" s="3">
        <v>44753</v>
      </c>
      <c r="B854" s="1">
        <v>219.23400000000001</v>
      </c>
      <c r="C854" s="4">
        <f t="shared" si="52"/>
        <v>9.6342485562443958E-3</v>
      </c>
      <c r="E854" s="3">
        <v>44753</v>
      </c>
      <c r="F854" s="1">
        <v>81.05</v>
      </c>
      <c r="G854" s="4">
        <f t="shared" si="53"/>
        <v>6.7072413364799299E-3</v>
      </c>
      <c r="I854" s="3">
        <v>44753</v>
      </c>
      <c r="J854" s="1">
        <v>87.331999999999994</v>
      </c>
      <c r="K854" s="4">
        <f t="shared" si="54"/>
        <v>-8.6048359632195925E-3</v>
      </c>
      <c r="M854" s="5">
        <v>44753</v>
      </c>
      <c r="N854" s="2">
        <v>16220.6</v>
      </c>
      <c r="O854" s="4">
        <f t="shared" si="55"/>
        <v>5.4360964240776077E-3</v>
      </c>
    </row>
    <row r="855" spans="1:15" x14ac:dyDescent="0.25">
      <c r="A855" s="3">
        <v>44750</v>
      </c>
      <c r="B855" s="1">
        <v>217.142</v>
      </c>
      <c r="C855" s="4">
        <f t="shared" si="52"/>
        <v>3.6978487764742773E-3</v>
      </c>
      <c r="E855" s="3">
        <v>44750</v>
      </c>
      <c r="F855" s="1">
        <v>80.510000000000005</v>
      </c>
      <c r="G855" s="4">
        <f t="shared" si="53"/>
        <v>-2.3543990086740685E-3</v>
      </c>
      <c r="I855" s="3">
        <v>44750</v>
      </c>
      <c r="J855" s="1">
        <v>88.09</v>
      </c>
      <c r="K855" s="4">
        <f t="shared" si="54"/>
        <v>1.7968430150570036E-3</v>
      </c>
      <c r="M855" s="5">
        <v>44750</v>
      </c>
      <c r="N855" s="2">
        <v>16132.9</v>
      </c>
      <c r="O855" s="4">
        <f t="shared" si="55"/>
        <v>8.9494552777396041E-3</v>
      </c>
    </row>
    <row r="856" spans="1:15" x14ac:dyDescent="0.25">
      <c r="A856" s="3">
        <v>44749</v>
      </c>
      <c r="B856" s="1">
        <v>216.34200000000001</v>
      </c>
      <c r="C856" s="4">
        <f t="shared" si="52"/>
        <v>7.7370610347444746E-3</v>
      </c>
      <c r="E856" s="3">
        <v>44749</v>
      </c>
      <c r="F856" s="1">
        <v>80.7</v>
      </c>
      <c r="G856" s="4">
        <f t="shared" si="53"/>
        <v>-2.4721878862793423E-3</v>
      </c>
      <c r="I856" s="3">
        <v>44749</v>
      </c>
      <c r="J856" s="1">
        <v>87.932000000000002</v>
      </c>
      <c r="K856" s="4">
        <f t="shared" si="54"/>
        <v>5.3277845105528243E-3</v>
      </c>
      <c r="M856" s="5">
        <v>44749</v>
      </c>
      <c r="N856" s="2">
        <v>15989.8</v>
      </c>
      <c r="O856" s="4">
        <f t="shared" si="55"/>
        <v>1.1318177074603808E-2</v>
      </c>
    </row>
    <row r="857" spans="1:15" x14ac:dyDescent="0.25">
      <c r="A857" s="3">
        <v>44748</v>
      </c>
      <c r="B857" s="1">
        <v>214.68100000000001</v>
      </c>
      <c r="C857" s="4">
        <f t="shared" si="52"/>
        <v>1.3750832274789904E-2</v>
      </c>
      <c r="E857" s="3">
        <v>44748</v>
      </c>
      <c r="F857" s="1">
        <v>80.900000000000006</v>
      </c>
      <c r="G857" s="4">
        <f t="shared" si="53"/>
        <v>-8.0922020598331867E-3</v>
      </c>
      <c r="I857" s="3">
        <v>44748</v>
      </c>
      <c r="J857" s="1">
        <v>87.465999999999994</v>
      </c>
      <c r="K857" s="4">
        <f t="shared" si="54"/>
        <v>1.0805376107984266E-2</v>
      </c>
      <c r="M857" s="5">
        <v>44748</v>
      </c>
      <c r="N857" s="2">
        <v>15810.85</v>
      </c>
      <c r="O857" s="4">
        <f t="shared" si="55"/>
        <v>-1.5471713602793757E-3</v>
      </c>
    </row>
    <row r="858" spans="1:15" x14ac:dyDescent="0.25">
      <c r="A858" s="3">
        <v>44747</v>
      </c>
      <c r="B858" s="1">
        <v>211.76900000000001</v>
      </c>
      <c r="C858" s="4">
        <f t="shared" si="52"/>
        <v>4.8732573478471597E-3</v>
      </c>
      <c r="E858" s="3">
        <v>44747</v>
      </c>
      <c r="F858" s="1">
        <v>81.56</v>
      </c>
      <c r="G858" s="4">
        <f t="shared" si="53"/>
        <v>3.4448818897638844E-3</v>
      </c>
      <c r="I858" s="3">
        <v>44747</v>
      </c>
      <c r="J858" s="1">
        <v>86.531000000000006</v>
      </c>
      <c r="K858" s="4">
        <f t="shared" si="54"/>
        <v>1.3148651180217463E-2</v>
      </c>
      <c r="M858" s="5">
        <v>44747</v>
      </c>
      <c r="N858" s="2">
        <v>15835.35</v>
      </c>
      <c r="O858" s="4">
        <f t="shared" si="55"/>
        <v>5.2882005834162804E-3</v>
      </c>
    </row>
    <row r="859" spans="1:15" x14ac:dyDescent="0.25">
      <c r="A859" s="3">
        <v>44746</v>
      </c>
      <c r="B859" s="1">
        <v>210.74199999999999</v>
      </c>
      <c r="C859" s="4">
        <f t="shared" si="52"/>
        <v>-3.5650792449976043E-3</v>
      </c>
      <c r="E859" s="3">
        <v>44746</v>
      </c>
      <c r="F859" s="1">
        <v>81.28</v>
      </c>
      <c r="G859" s="4">
        <f t="shared" si="53"/>
        <v>4.8213623439239406E-3</v>
      </c>
      <c r="I859" s="3">
        <v>44746</v>
      </c>
      <c r="J859" s="1">
        <v>85.408000000000001</v>
      </c>
      <c r="K859" s="4">
        <f t="shared" si="54"/>
        <v>-2.2313344782065592E-3</v>
      </c>
      <c r="M859" s="5">
        <v>44746</v>
      </c>
      <c r="N859" s="2">
        <v>15752.05</v>
      </c>
      <c r="O859" s="4">
        <f t="shared" si="55"/>
        <v>-1.7870439314966458E-3</v>
      </c>
    </row>
    <row r="860" spans="1:15" x14ac:dyDescent="0.25">
      <c r="A860" s="3">
        <v>44743</v>
      </c>
      <c r="B860" s="1">
        <v>211.49600000000001</v>
      </c>
      <c r="C860" s="4">
        <f t="shared" si="52"/>
        <v>-2.5984805255437893E-3</v>
      </c>
      <c r="E860" s="3">
        <v>44743</v>
      </c>
      <c r="F860" s="1">
        <v>80.89</v>
      </c>
      <c r="G860" s="4">
        <f t="shared" si="53"/>
        <v>1.2137137137137044E-2</v>
      </c>
      <c r="I860" s="3">
        <v>44743</v>
      </c>
      <c r="J860" s="1">
        <v>85.599000000000004</v>
      </c>
      <c r="K860" s="4">
        <f t="shared" si="54"/>
        <v>7.3789012851293023E-3</v>
      </c>
      <c r="M860" s="5">
        <v>44743</v>
      </c>
      <c r="N860" s="2">
        <v>15780.25</v>
      </c>
      <c r="O860" s="4">
        <f t="shared" si="55"/>
        <v>-1.193105936414085E-3</v>
      </c>
    </row>
    <row r="861" spans="1:15" x14ac:dyDescent="0.25">
      <c r="A861" s="3">
        <v>44742</v>
      </c>
      <c r="B861" s="1">
        <v>212.047</v>
      </c>
      <c r="C861" s="4">
        <f t="shared" si="52"/>
        <v>-7.6747766593195932E-3</v>
      </c>
      <c r="E861" s="3">
        <v>44742</v>
      </c>
      <c r="F861" s="1">
        <v>79.92</v>
      </c>
      <c r="G861" s="4">
        <f t="shared" si="53"/>
        <v>1.1261546248260146E-2</v>
      </c>
      <c r="I861" s="3">
        <v>44742</v>
      </c>
      <c r="J861" s="1">
        <v>84.971999999999994</v>
      </c>
      <c r="K861" s="4">
        <f t="shared" si="54"/>
        <v>-7.056167090037091E-4</v>
      </c>
      <c r="M861" s="5">
        <v>44742</v>
      </c>
      <c r="N861" s="2">
        <v>15799.1</v>
      </c>
      <c r="O861" s="4">
        <f t="shared" si="55"/>
        <v>-3.2239340828507101E-3</v>
      </c>
    </row>
    <row r="862" spans="1:15" x14ac:dyDescent="0.25">
      <c r="A862" s="3">
        <v>44741</v>
      </c>
      <c r="B862" s="1">
        <v>213.68700000000001</v>
      </c>
      <c r="C862" s="4">
        <f t="shared" si="52"/>
        <v>3.4326339713368625E-3</v>
      </c>
      <c r="E862" s="3">
        <v>44741</v>
      </c>
      <c r="F862" s="1">
        <v>79.03</v>
      </c>
      <c r="G862" s="4">
        <f t="shared" si="53"/>
        <v>2.5313251487157906E-4</v>
      </c>
      <c r="I862" s="3">
        <v>44741</v>
      </c>
      <c r="J862" s="1">
        <v>85.031999999999996</v>
      </c>
      <c r="K862" s="4">
        <f t="shared" si="54"/>
        <v>-1.0455704232797958E-3</v>
      </c>
      <c r="M862" s="5">
        <v>44741</v>
      </c>
      <c r="N862" s="2">
        <v>15850.2</v>
      </c>
      <c r="O862" s="4">
        <f t="shared" si="55"/>
        <v>1.1464087089165798E-3</v>
      </c>
    </row>
    <row r="863" spans="1:15" x14ac:dyDescent="0.25">
      <c r="A863" s="3">
        <v>44740</v>
      </c>
      <c r="B863" s="1">
        <v>212.95599999999999</v>
      </c>
      <c r="C863" s="4">
        <f t="shared" si="52"/>
        <v>4.8507040126835044E-3</v>
      </c>
      <c r="E863" s="3">
        <v>44740</v>
      </c>
      <c r="F863" s="1">
        <v>79.010000000000005</v>
      </c>
      <c r="G863" s="4">
        <f t="shared" si="53"/>
        <v>8.9388328438257947E-3</v>
      </c>
      <c r="I863" s="3">
        <v>44740</v>
      </c>
      <c r="J863" s="1">
        <v>85.120999999999995</v>
      </c>
      <c r="K863" s="4">
        <f t="shared" si="54"/>
        <v>-2.1218728751964955E-3</v>
      </c>
      <c r="M863" s="5">
        <v>44740</v>
      </c>
      <c r="N863" s="2">
        <v>15832.05</v>
      </c>
      <c r="O863" s="4">
        <f t="shared" si="55"/>
        <v>8.4590028186060096E-3</v>
      </c>
    </row>
    <row r="864" spans="1:15" x14ac:dyDescent="0.25">
      <c r="A864" s="3">
        <v>44739</v>
      </c>
      <c r="B864" s="1">
        <v>211.928</v>
      </c>
      <c r="C864" s="4">
        <f t="shared" si="52"/>
        <v>1.0562053854553666E-2</v>
      </c>
      <c r="E864" s="3">
        <v>44739</v>
      </c>
      <c r="F864" s="1">
        <v>78.31</v>
      </c>
      <c r="G864" s="4">
        <f t="shared" si="53"/>
        <v>0</v>
      </c>
      <c r="I864" s="3">
        <v>44739</v>
      </c>
      <c r="J864" s="1">
        <v>85.302000000000007</v>
      </c>
      <c r="K864" s="4">
        <f t="shared" si="54"/>
        <v>1.714500446239775E-3</v>
      </c>
      <c r="M864" s="5">
        <v>44739</v>
      </c>
      <c r="N864" s="2">
        <v>15699.25</v>
      </c>
      <c r="O864" s="4">
        <f t="shared" si="55"/>
        <v>9.1664979285386305E-3</v>
      </c>
    </row>
    <row r="865" spans="1:15" x14ac:dyDescent="0.25">
      <c r="A865" s="3">
        <v>44736</v>
      </c>
      <c r="B865" s="1">
        <v>209.71299999999999</v>
      </c>
      <c r="C865" s="4">
        <f t="shared" si="52"/>
        <v>1.2602424880373553E-2</v>
      </c>
      <c r="E865" s="3">
        <v>44736</v>
      </c>
      <c r="F865" s="1">
        <v>78.31</v>
      </c>
      <c r="G865" s="4">
        <f t="shared" si="53"/>
        <v>1.790968402200388E-3</v>
      </c>
      <c r="I865" s="3">
        <v>44736</v>
      </c>
      <c r="J865" s="1">
        <v>85.156000000000006</v>
      </c>
      <c r="K865" s="4">
        <f t="shared" si="54"/>
        <v>1.0537807946076949E-2</v>
      </c>
      <c r="M865" s="5">
        <v>44736</v>
      </c>
      <c r="N865" s="2">
        <v>15556.65</v>
      </c>
      <c r="O865" s="4">
        <f t="shared" si="55"/>
        <v>9.300409386698627E-3</v>
      </c>
    </row>
    <row r="866" spans="1:15" x14ac:dyDescent="0.25">
      <c r="A866" s="3">
        <v>44735</v>
      </c>
      <c r="B866" s="1">
        <v>207.10300000000001</v>
      </c>
      <c r="C866" s="4">
        <f t="shared" si="52"/>
        <v>2.2260613715441302E-3</v>
      </c>
      <c r="E866" s="3">
        <v>44735</v>
      </c>
      <c r="F866" s="1">
        <v>78.17</v>
      </c>
      <c r="G866" s="4">
        <f t="shared" si="53"/>
        <v>-2.4247064828993858E-3</v>
      </c>
      <c r="I866" s="3">
        <v>44735</v>
      </c>
      <c r="J866" s="1">
        <v>84.268000000000001</v>
      </c>
      <c r="K866" s="4">
        <f t="shared" si="54"/>
        <v>9.3910210339707145E-3</v>
      </c>
      <c r="M866" s="5">
        <v>44735</v>
      </c>
      <c r="N866" s="2">
        <v>15413.3</v>
      </c>
      <c r="O866" s="4">
        <f t="shared" si="55"/>
        <v>-1.4419264905235707E-2</v>
      </c>
    </row>
    <row r="867" spans="1:15" x14ac:dyDescent="0.25">
      <c r="A867" s="3">
        <v>44734</v>
      </c>
      <c r="B867" s="1">
        <v>206.643</v>
      </c>
      <c r="C867" s="4">
        <f t="shared" si="52"/>
        <v>7.906468574104375E-3</v>
      </c>
      <c r="E867" s="3">
        <v>44734</v>
      </c>
      <c r="F867" s="1">
        <v>78.36</v>
      </c>
      <c r="G867" s="4">
        <f t="shared" si="53"/>
        <v>-3.4338038916443825E-3</v>
      </c>
      <c r="I867" s="3">
        <v>44734</v>
      </c>
      <c r="J867" s="1">
        <v>83.483999999999995</v>
      </c>
      <c r="K867" s="4">
        <f t="shared" si="54"/>
        <v>1.1179612650040527E-2</v>
      </c>
      <c r="M867" s="5">
        <v>44734</v>
      </c>
      <c r="N867" s="2">
        <v>15638.8</v>
      </c>
      <c r="O867" s="4">
        <f t="shared" si="55"/>
        <v>1.8804376504464093E-2</v>
      </c>
    </row>
    <row r="868" spans="1:15" x14ac:dyDescent="0.25">
      <c r="A868" s="3">
        <v>44733</v>
      </c>
      <c r="B868" s="1">
        <v>205.02199999999999</v>
      </c>
      <c r="C868" s="4">
        <f t="shared" si="52"/>
        <v>9.8623181329937637E-4</v>
      </c>
      <c r="E868" s="3">
        <v>44733</v>
      </c>
      <c r="F868" s="1">
        <v>78.63</v>
      </c>
      <c r="G868" s="4">
        <f t="shared" si="53"/>
        <v>1.2733987011332992E-3</v>
      </c>
      <c r="I868" s="3">
        <v>44733</v>
      </c>
      <c r="J868" s="1">
        <v>82.561000000000007</v>
      </c>
      <c r="K868" s="4">
        <f t="shared" si="54"/>
        <v>-1.2794298764811973E-2</v>
      </c>
      <c r="M868" s="5">
        <v>44733</v>
      </c>
      <c r="N868" s="2">
        <v>15350.15</v>
      </c>
      <c r="O868" s="4">
        <f t="shared" si="55"/>
        <v>3.7041880537482808E-3</v>
      </c>
    </row>
    <row r="869" spans="1:15" x14ac:dyDescent="0.25">
      <c r="A869" s="3">
        <v>44732</v>
      </c>
      <c r="B869" s="1">
        <v>204.82</v>
      </c>
      <c r="C869" s="4">
        <f t="shared" si="52"/>
        <v>-3.2459474321976378E-3</v>
      </c>
      <c r="E869" s="3">
        <v>44732</v>
      </c>
      <c r="F869" s="1">
        <v>78.53</v>
      </c>
      <c r="G869" s="4">
        <f t="shared" si="53"/>
        <v>1.0812202342643795E-2</v>
      </c>
      <c r="I869" s="3">
        <v>44732</v>
      </c>
      <c r="J869" s="1">
        <v>83.631</v>
      </c>
      <c r="K869" s="4">
        <f t="shared" si="54"/>
        <v>1.9330855018587334E-2</v>
      </c>
      <c r="M869" s="5">
        <v>44732</v>
      </c>
      <c r="N869" s="2">
        <v>15293.5</v>
      </c>
      <c r="O869" s="4">
        <f t="shared" si="55"/>
        <v>-4.3683189458745275E-3</v>
      </c>
    </row>
    <row r="870" spans="1:15" x14ac:dyDescent="0.25">
      <c r="A870" s="3">
        <v>44729</v>
      </c>
      <c r="B870" s="1">
        <v>205.48699999999999</v>
      </c>
      <c r="C870" s="4">
        <f t="shared" si="52"/>
        <v>-5.7289121357132489E-3</v>
      </c>
      <c r="E870" s="3">
        <v>44729</v>
      </c>
      <c r="F870" s="1">
        <v>77.69</v>
      </c>
      <c r="G870" s="4">
        <f t="shared" si="53"/>
        <v>1.053590010405836E-2</v>
      </c>
      <c r="I870" s="3">
        <v>44729</v>
      </c>
      <c r="J870" s="1">
        <v>82.045000000000002</v>
      </c>
      <c r="K870" s="4">
        <f t="shared" si="54"/>
        <v>-4.1148766750824795E-3</v>
      </c>
      <c r="M870" s="5">
        <v>44729</v>
      </c>
      <c r="N870" s="2">
        <v>15360.6</v>
      </c>
      <c r="O870" s="4">
        <f t="shared" si="55"/>
        <v>-2.1128398594201458E-2</v>
      </c>
    </row>
    <row r="871" spans="1:15" x14ac:dyDescent="0.25">
      <c r="A871" s="3">
        <v>44728</v>
      </c>
      <c r="B871" s="1">
        <v>206.67099999999999</v>
      </c>
      <c r="C871" s="4">
        <f t="shared" si="52"/>
        <v>6.0605765579819781E-3</v>
      </c>
      <c r="E871" s="3">
        <v>44728</v>
      </c>
      <c r="F871" s="1">
        <v>76.88</v>
      </c>
      <c r="G871" s="4">
        <f t="shared" si="53"/>
        <v>1.1712067377286584E-2</v>
      </c>
      <c r="I871" s="3">
        <v>44728</v>
      </c>
      <c r="J871" s="1">
        <v>82.384</v>
      </c>
      <c r="K871" s="4">
        <f t="shared" si="54"/>
        <v>-5.6486264664703523E-3</v>
      </c>
      <c r="M871" s="5">
        <v>44728</v>
      </c>
      <c r="N871" s="2">
        <v>15692.15</v>
      </c>
      <c r="O871" s="4">
        <f t="shared" si="55"/>
        <v>-2.5393939779178032E-3</v>
      </c>
    </row>
    <row r="872" spans="1:15" x14ac:dyDescent="0.25">
      <c r="A872" s="3">
        <v>44727</v>
      </c>
      <c r="B872" s="1">
        <v>205.42599999999999</v>
      </c>
      <c r="C872" s="4">
        <f t="shared" si="52"/>
        <v>1.2244938184004184E-2</v>
      </c>
      <c r="E872" s="3">
        <v>44727</v>
      </c>
      <c r="F872" s="1">
        <v>75.989999999999995</v>
      </c>
      <c r="G872" s="4">
        <f t="shared" si="53"/>
        <v>-1.1319281811085102E-2</v>
      </c>
      <c r="I872" s="3">
        <v>44727</v>
      </c>
      <c r="J872" s="1">
        <v>82.852000000000004</v>
      </c>
      <c r="K872" s="4">
        <f t="shared" si="54"/>
        <v>-2.0835549252496532E-2</v>
      </c>
      <c r="M872" s="5">
        <v>44727</v>
      </c>
      <c r="N872" s="2">
        <v>15732.1</v>
      </c>
      <c r="O872" s="4">
        <f t="shared" si="55"/>
        <v>-2.6815599959427727E-3</v>
      </c>
    </row>
    <row r="873" spans="1:15" x14ac:dyDescent="0.25">
      <c r="A873" s="3">
        <v>44726</v>
      </c>
      <c r="B873" s="1">
        <v>202.941</v>
      </c>
      <c r="C873" s="4">
        <f t="shared" si="52"/>
        <v>9.3252961714063165E-3</v>
      </c>
      <c r="E873" s="3">
        <v>44726</v>
      </c>
      <c r="F873" s="1">
        <v>76.86</v>
      </c>
      <c r="G873" s="4">
        <f t="shared" si="53"/>
        <v>2.0581596069578989E-2</v>
      </c>
      <c r="I873" s="3">
        <v>44726</v>
      </c>
      <c r="J873" s="1">
        <v>84.614999999999995</v>
      </c>
      <c r="K873" s="4">
        <f t="shared" si="54"/>
        <v>4.8478255728712227E-4</v>
      </c>
      <c r="M873" s="5">
        <v>44726</v>
      </c>
      <c r="N873" s="2">
        <v>15774.4</v>
      </c>
      <c r="O873" s="4">
        <f t="shared" si="55"/>
        <v>-2.6379784962164643E-2</v>
      </c>
    </row>
    <row r="874" spans="1:15" x14ac:dyDescent="0.25">
      <c r="A874" s="3">
        <v>44725</v>
      </c>
      <c r="B874" s="1">
        <v>201.066</v>
      </c>
      <c r="C874" s="4">
        <f t="shared" si="52"/>
        <v>8.9926432951614732E-3</v>
      </c>
      <c r="E874" s="3">
        <v>44725</v>
      </c>
      <c r="F874" s="1">
        <v>75.31</v>
      </c>
      <c r="G874" s="4">
        <f t="shared" si="53"/>
        <v>-3.3086289041821537E-3</v>
      </c>
      <c r="I874" s="3">
        <v>44725</v>
      </c>
      <c r="J874" s="1">
        <v>84.573999999999998</v>
      </c>
      <c r="K874" s="4">
        <f t="shared" si="54"/>
        <v>1.7739093414070872E-4</v>
      </c>
      <c r="M874" s="5">
        <v>44725</v>
      </c>
      <c r="N874" s="2">
        <v>16201.8</v>
      </c>
      <c r="O874" s="4">
        <f t="shared" si="55"/>
        <v>-1.6767709869463077E-2</v>
      </c>
    </row>
    <row r="875" spans="1:15" x14ac:dyDescent="0.25">
      <c r="A875" s="3">
        <v>44722</v>
      </c>
      <c r="B875" s="1">
        <v>199.274</v>
      </c>
      <c r="C875" s="4">
        <f t="shared" si="52"/>
        <v>-8.6462499751258637E-3</v>
      </c>
      <c r="E875" s="3">
        <v>44722</v>
      </c>
      <c r="F875" s="1">
        <v>75.56</v>
      </c>
      <c r="G875" s="4">
        <f t="shared" si="53"/>
        <v>-5.7894736842104555E-3</v>
      </c>
      <c r="I875" s="3">
        <v>44722</v>
      </c>
      <c r="J875" s="1">
        <v>84.558999999999997</v>
      </c>
      <c r="K875" s="4">
        <f t="shared" si="54"/>
        <v>-2.5087911454430234E-2</v>
      </c>
      <c r="M875" s="5">
        <v>44722</v>
      </c>
      <c r="N875" s="2">
        <v>16478.099999999999</v>
      </c>
      <c r="O875" s="4">
        <f t="shared" si="55"/>
        <v>7.4497516239968586E-3</v>
      </c>
    </row>
    <row r="876" spans="1:15" x14ac:dyDescent="0.25">
      <c r="A876" s="3">
        <v>44721</v>
      </c>
      <c r="B876" s="1">
        <v>201.012</v>
      </c>
      <c r="C876" s="4">
        <f t="shared" si="52"/>
        <v>1.5463422766240242E-2</v>
      </c>
      <c r="E876" s="3">
        <v>44721</v>
      </c>
      <c r="F876" s="1">
        <v>76</v>
      </c>
      <c r="G876" s="4">
        <f t="shared" si="53"/>
        <v>-1.8975087130502111E-2</v>
      </c>
      <c r="I876" s="3">
        <v>44721</v>
      </c>
      <c r="J876" s="1">
        <v>86.734999999999999</v>
      </c>
      <c r="K876" s="4">
        <f t="shared" si="54"/>
        <v>-1.0631138284645347E-2</v>
      </c>
      <c r="M876" s="5">
        <v>44721</v>
      </c>
      <c r="N876" s="2">
        <v>16356.25</v>
      </c>
      <c r="O876" s="4">
        <f t="shared" si="55"/>
        <v>-3.6609843235554385E-3</v>
      </c>
    </row>
    <row r="877" spans="1:15" x14ac:dyDescent="0.25">
      <c r="A877" s="3">
        <v>44720</v>
      </c>
      <c r="B877" s="1">
        <v>197.95099999999999</v>
      </c>
      <c r="C877" s="4">
        <f t="shared" si="52"/>
        <v>-7.1622387513228247E-3</v>
      </c>
      <c r="E877" s="3">
        <v>44720</v>
      </c>
      <c r="F877" s="1">
        <v>77.47</v>
      </c>
      <c r="G877" s="4">
        <f t="shared" si="53"/>
        <v>7.750936571502276E-4</v>
      </c>
      <c r="I877" s="3">
        <v>44720</v>
      </c>
      <c r="J877" s="1">
        <v>87.667000000000002</v>
      </c>
      <c r="K877" s="4">
        <f t="shared" si="54"/>
        <v>5.8053487224791755E-3</v>
      </c>
      <c r="M877" s="5">
        <v>44720</v>
      </c>
      <c r="N877" s="2">
        <v>16416.349999999999</v>
      </c>
      <c r="O877" s="4">
        <f t="shared" si="55"/>
        <v>-9.2458757178076612E-3</v>
      </c>
    </row>
    <row r="878" spans="1:15" x14ac:dyDescent="0.25">
      <c r="A878" s="3">
        <v>44719</v>
      </c>
      <c r="B878" s="1">
        <v>199.37899999999999</v>
      </c>
      <c r="C878" s="4">
        <f t="shared" si="52"/>
        <v>-4.8465185924632115E-3</v>
      </c>
      <c r="E878" s="3">
        <v>44719</v>
      </c>
      <c r="F878" s="1">
        <v>77.41</v>
      </c>
      <c r="G878" s="4">
        <f t="shared" si="53"/>
        <v>-7.7449335226542626E-4</v>
      </c>
      <c r="I878" s="3">
        <v>44719</v>
      </c>
      <c r="J878" s="1">
        <v>87.161000000000001</v>
      </c>
      <c r="K878" s="4">
        <f t="shared" si="54"/>
        <v>-4.1246772240123297E-3</v>
      </c>
      <c r="M878" s="5">
        <v>44719</v>
      </c>
      <c r="N878" s="2">
        <v>16569.55</v>
      </c>
      <c r="O878" s="4">
        <f t="shared" si="55"/>
        <v>-8.8939539202737006E-4</v>
      </c>
    </row>
    <row r="879" spans="1:15" x14ac:dyDescent="0.25">
      <c r="A879" s="3">
        <v>44718</v>
      </c>
      <c r="B879" s="1">
        <v>200.35</v>
      </c>
      <c r="C879" s="4">
        <f t="shared" si="52"/>
        <v>-1.6677464318668123E-2</v>
      </c>
      <c r="E879" s="3">
        <v>44718</v>
      </c>
      <c r="F879" s="1">
        <v>77.47</v>
      </c>
      <c r="G879" s="4">
        <f t="shared" si="53"/>
        <v>-2.6881045094837352E-2</v>
      </c>
      <c r="I879" s="3">
        <v>44718</v>
      </c>
      <c r="J879" s="1">
        <v>87.522000000000006</v>
      </c>
      <c r="K879" s="4">
        <f t="shared" si="54"/>
        <v>-7.5520478976731642E-3</v>
      </c>
      <c r="M879" s="5">
        <v>44718</v>
      </c>
      <c r="N879" s="2">
        <v>16584.3</v>
      </c>
      <c r="O879" s="4">
        <f t="shared" si="55"/>
        <v>-2.6280971854703017E-3</v>
      </c>
    </row>
    <row r="880" spans="1:15" x14ac:dyDescent="0.25">
      <c r="A880" s="3">
        <v>44715</v>
      </c>
      <c r="B880" s="1">
        <v>203.74799999999999</v>
      </c>
      <c r="C880" s="4">
        <f t="shared" si="52"/>
        <v>7.7606955154951862E-4</v>
      </c>
      <c r="E880" s="3">
        <v>44715</v>
      </c>
      <c r="F880" s="1">
        <v>79.61</v>
      </c>
      <c r="G880" s="4">
        <f t="shared" si="53"/>
        <v>-1.1301539990064557E-2</v>
      </c>
      <c r="I880" s="3">
        <v>44715</v>
      </c>
      <c r="J880" s="1">
        <v>88.188000000000002</v>
      </c>
      <c r="K880" s="4">
        <f t="shared" si="54"/>
        <v>-2.1950170849268646E-3</v>
      </c>
      <c r="M880" s="5">
        <v>44715</v>
      </c>
      <c r="N880" s="2">
        <v>16628</v>
      </c>
      <c r="O880" s="4">
        <f t="shared" si="55"/>
        <v>6.3700049931154634E-3</v>
      </c>
    </row>
    <row r="881" spans="1:15" x14ac:dyDescent="0.25">
      <c r="A881" s="3">
        <v>44714</v>
      </c>
      <c r="B881" s="1">
        <v>203.59</v>
      </c>
      <c r="C881" s="4">
        <f t="shared" si="52"/>
        <v>-7.8527607361966734E-4</v>
      </c>
      <c r="E881" s="3">
        <v>44714</v>
      </c>
      <c r="F881" s="1">
        <v>80.52</v>
      </c>
      <c r="G881" s="4">
        <f t="shared" si="53"/>
        <v>3.9900249376558783E-3</v>
      </c>
      <c r="I881" s="3">
        <v>44714</v>
      </c>
      <c r="J881" s="1">
        <v>88.382000000000005</v>
      </c>
      <c r="K881" s="4">
        <f t="shared" si="54"/>
        <v>-8.2253268248890787E-3</v>
      </c>
      <c r="M881" s="5">
        <v>44714</v>
      </c>
      <c r="N881" s="2">
        <v>16522.75</v>
      </c>
      <c r="O881" s="4">
        <f t="shared" si="55"/>
        <v>-3.7263597746094446E-3</v>
      </c>
    </row>
    <row r="882" spans="1:15" x14ac:dyDescent="0.25">
      <c r="A882" s="3">
        <v>44713</v>
      </c>
      <c r="B882" s="1">
        <v>203.75</v>
      </c>
      <c r="C882" s="4">
        <f t="shared" si="52"/>
        <v>-2.1556960991937157E-2</v>
      </c>
      <c r="E882" s="3">
        <v>44713</v>
      </c>
      <c r="F882" s="1">
        <v>80.2</v>
      </c>
      <c r="G882" s="4">
        <f t="shared" si="53"/>
        <v>-3.4791252485089075E-3</v>
      </c>
      <c r="I882" s="3">
        <v>44713</v>
      </c>
      <c r="J882" s="1">
        <v>89.114999999999995</v>
      </c>
      <c r="K882" s="4">
        <f t="shared" si="54"/>
        <v>4.6673656441302835E-3</v>
      </c>
      <c r="M882" s="5">
        <v>44713</v>
      </c>
      <c r="N882" s="2">
        <v>16584.55</v>
      </c>
      <c r="O882" s="4">
        <f t="shared" si="55"/>
        <v>-4.6124575365816822E-3</v>
      </c>
    </row>
    <row r="883" spans="1:15" x14ac:dyDescent="0.25">
      <c r="A883" s="3">
        <v>44712</v>
      </c>
      <c r="B883" s="1">
        <v>208.239</v>
      </c>
      <c r="C883" s="4">
        <f t="shared" si="52"/>
        <v>-6.4411777335642295E-3</v>
      </c>
      <c r="E883" s="3">
        <v>44712</v>
      </c>
      <c r="F883" s="1">
        <v>80.48</v>
      </c>
      <c r="G883" s="4">
        <f t="shared" si="53"/>
        <v>-9.1110563900516084E-3</v>
      </c>
      <c r="I883" s="3">
        <v>44712</v>
      </c>
      <c r="J883" s="1">
        <v>88.700999999999993</v>
      </c>
      <c r="K883" s="4">
        <f t="shared" si="54"/>
        <v>-1.7668639852349566E-3</v>
      </c>
      <c r="M883" s="5">
        <v>44712</v>
      </c>
      <c r="N883" s="2">
        <v>16661.400000000001</v>
      </c>
      <c r="O883" s="4">
        <f t="shared" si="55"/>
        <v>1.8893193374693196E-2</v>
      </c>
    </row>
    <row r="884" spans="1:15" x14ac:dyDescent="0.25">
      <c r="A884" s="3">
        <v>44711</v>
      </c>
      <c r="B884" s="1">
        <v>209.589</v>
      </c>
      <c r="C884" s="4">
        <f t="shared" si="52"/>
        <v>1.1607577885415221E-3</v>
      </c>
      <c r="E884" s="3">
        <v>44711</v>
      </c>
      <c r="F884" s="1">
        <v>81.22</v>
      </c>
      <c r="G884" s="4">
        <f t="shared" si="53"/>
        <v>-2.9462312791553869E-3</v>
      </c>
      <c r="I884" s="3">
        <v>44711</v>
      </c>
      <c r="J884" s="1">
        <v>88.858000000000004</v>
      </c>
      <c r="K884" s="4">
        <f t="shared" si="54"/>
        <v>-3.0740923574025247E-3</v>
      </c>
      <c r="M884" s="5">
        <v>44711</v>
      </c>
      <c r="N884" s="2">
        <v>16352.45</v>
      </c>
      <c r="O884" s="4">
        <f t="shared" si="55"/>
        <v>1.1273859549849607E-2</v>
      </c>
    </row>
    <row r="885" spans="1:15" x14ac:dyDescent="0.25">
      <c r="A885" s="3">
        <v>44708</v>
      </c>
      <c r="B885" s="1">
        <v>209.346</v>
      </c>
      <c r="C885" s="4">
        <f t="shared" si="52"/>
        <v>4.683437834531734E-4</v>
      </c>
      <c r="E885" s="3">
        <v>44708</v>
      </c>
      <c r="F885" s="1">
        <v>81.459999999999994</v>
      </c>
      <c r="G885" s="4">
        <f t="shared" si="53"/>
        <v>-6.5853658536586535E-3</v>
      </c>
      <c r="I885" s="3">
        <v>44708</v>
      </c>
      <c r="J885" s="1">
        <v>89.132000000000005</v>
      </c>
      <c r="K885" s="4">
        <f t="shared" si="54"/>
        <v>1.8791148500365784E-2</v>
      </c>
      <c r="M885" s="5">
        <v>44708</v>
      </c>
      <c r="N885" s="2">
        <v>16170.15</v>
      </c>
      <c r="O885" s="4">
        <f t="shared" si="55"/>
        <v>9.0073506470815801E-3</v>
      </c>
    </row>
    <row r="886" spans="1:15" x14ac:dyDescent="0.25">
      <c r="A886" s="3">
        <v>44707</v>
      </c>
      <c r="B886" s="1">
        <v>209.24799999999999</v>
      </c>
      <c r="C886" s="4">
        <f t="shared" si="52"/>
        <v>-4.9550620571591208E-3</v>
      </c>
      <c r="E886" s="3">
        <v>44707</v>
      </c>
      <c r="F886" s="1">
        <v>82</v>
      </c>
      <c r="G886" s="4">
        <f t="shared" si="53"/>
        <v>2.8127675186500056E-3</v>
      </c>
      <c r="I886" s="3">
        <v>44707</v>
      </c>
      <c r="J886" s="1">
        <v>87.488</v>
      </c>
      <c r="K886" s="4">
        <f t="shared" si="54"/>
        <v>9.8925326961480931E-3</v>
      </c>
      <c r="M886" s="5">
        <v>44707</v>
      </c>
      <c r="N886" s="2">
        <v>16025.8</v>
      </c>
      <c r="O886" s="4">
        <f t="shared" si="55"/>
        <v>-6.1611829967473941E-3</v>
      </c>
    </row>
    <row r="887" spans="1:15" x14ac:dyDescent="0.25">
      <c r="A887" s="3">
        <v>44706</v>
      </c>
      <c r="B887" s="1">
        <v>210.29</v>
      </c>
      <c r="C887" s="4">
        <f t="shared" si="52"/>
        <v>-1.5857642054086796E-3</v>
      </c>
      <c r="E887" s="3">
        <v>44706</v>
      </c>
      <c r="F887" s="1">
        <v>81.77</v>
      </c>
      <c r="G887" s="4">
        <f t="shared" si="53"/>
        <v>-2.5616003903392581E-3</v>
      </c>
      <c r="I887" s="3">
        <v>44706</v>
      </c>
      <c r="J887" s="1">
        <v>86.631</v>
      </c>
      <c r="K887" s="4">
        <f t="shared" si="54"/>
        <v>1.2742427607813855E-2</v>
      </c>
      <c r="M887" s="5">
        <v>44706</v>
      </c>
      <c r="N887" s="2">
        <v>16125.15</v>
      </c>
      <c r="O887" s="4">
        <f t="shared" si="55"/>
        <v>-5.5227663786564518E-3</v>
      </c>
    </row>
    <row r="888" spans="1:15" x14ac:dyDescent="0.25">
      <c r="A888" s="3">
        <v>44705</v>
      </c>
      <c r="B888" s="1">
        <v>210.624</v>
      </c>
      <c r="C888" s="4">
        <f t="shared" si="52"/>
        <v>-3.7838655970940938E-3</v>
      </c>
      <c r="E888" s="3">
        <v>44705</v>
      </c>
      <c r="F888" s="1">
        <v>81.98</v>
      </c>
      <c r="G888" s="4">
        <f t="shared" si="53"/>
        <v>4.8816206980717425E-4</v>
      </c>
      <c r="I888" s="3">
        <v>44705</v>
      </c>
      <c r="J888" s="1">
        <v>85.540999999999997</v>
      </c>
      <c r="K888" s="4">
        <f t="shared" si="54"/>
        <v>-9.621173528458371E-3</v>
      </c>
      <c r="M888" s="5">
        <v>44705</v>
      </c>
      <c r="N888" s="2">
        <v>16214.7</v>
      </c>
      <c r="O888" s="4">
        <f t="shared" si="55"/>
        <v>-3.1630103005320098E-3</v>
      </c>
    </row>
    <row r="889" spans="1:15" x14ac:dyDescent="0.25">
      <c r="A889" s="3">
        <v>44704</v>
      </c>
      <c r="B889" s="1">
        <v>211.42400000000001</v>
      </c>
      <c r="C889" s="4">
        <f t="shared" si="52"/>
        <v>1.7388667516358147E-3</v>
      </c>
      <c r="E889" s="3">
        <v>44704</v>
      </c>
      <c r="F889" s="1">
        <v>81.94</v>
      </c>
      <c r="G889" s="4">
        <f t="shared" si="53"/>
        <v>1.9281005100136861E-2</v>
      </c>
      <c r="I889" s="3">
        <v>44704</v>
      </c>
      <c r="J889" s="1">
        <v>86.372</v>
      </c>
      <c r="K889" s="4">
        <f t="shared" si="54"/>
        <v>-5.7441493709062819E-3</v>
      </c>
      <c r="M889" s="5">
        <v>44704</v>
      </c>
      <c r="N889" s="2">
        <v>16266.15</v>
      </c>
      <c r="O889" s="4">
        <f t="shared" si="55"/>
        <v>2.8891039508140759E-2</v>
      </c>
    </row>
    <row r="890" spans="1:15" x14ac:dyDescent="0.25">
      <c r="A890" s="3">
        <v>44701</v>
      </c>
      <c r="B890" s="1">
        <v>211.05699999999999</v>
      </c>
      <c r="C890" s="4">
        <f t="shared" si="52"/>
        <v>9.8174057386768432E-4</v>
      </c>
      <c r="E890" s="3">
        <v>44701</v>
      </c>
      <c r="F890" s="1">
        <v>80.39</v>
      </c>
      <c r="G890" s="4">
        <f t="shared" si="53"/>
        <v>1.387312397528051E-2</v>
      </c>
      <c r="I890" s="3">
        <v>44701</v>
      </c>
      <c r="J890" s="1">
        <v>86.870999999999995</v>
      </c>
      <c r="K890" s="4">
        <f t="shared" si="54"/>
        <v>-2.6635133118262377E-3</v>
      </c>
      <c r="M890" s="5">
        <v>44701</v>
      </c>
      <c r="N890" s="2">
        <v>15809.4</v>
      </c>
      <c r="O890" s="4">
        <f t="shared" si="55"/>
        <v>-2.6532761094314794E-2</v>
      </c>
    </row>
    <row r="891" spans="1:15" x14ac:dyDescent="0.25">
      <c r="A891" s="3">
        <v>44700</v>
      </c>
      <c r="B891" s="1">
        <v>210.85</v>
      </c>
      <c r="C891" s="4">
        <f t="shared" si="52"/>
        <v>2.0530562974649946E-3</v>
      </c>
      <c r="E891" s="3">
        <v>44700</v>
      </c>
      <c r="F891" s="1">
        <v>79.290000000000006</v>
      </c>
      <c r="G891" s="4">
        <f t="shared" si="53"/>
        <v>1.2385086823289315E-2</v>
      </c>
      <c r="I891" s="3">
        <v>44700</v>
      </c>
      <c r="J891" s="1">
        <v>87.102999999999994</v>
      </c>
      <c r="K891" s="4">
        <f t="shared" si="54"/>
        <v>2.3633244018238964E-2</v>
      </c>
      <c r="M891" s="5">
        <v>44700</v>
      </c>
      <c r="N891" s="2">
        <v>16240.3</v>
      </c>
      <c r="O891" s="4">
        <f t="shared" si="55"/>
        <v>-1.1685619922137125E-3</v>
      </c>
    </row>
    <row r="892" spans="1:15" x14ac:dyDescent="0.25">
      <c r="A892" s="3">
        <v>44699</v>
      </c>
      <c r="B892" s="1">
        <v>210.41800000000001</v>
      </c>
      <c r="C892" s="4">
        <f t="shared" si="52"/>
        <v>1.3349643142656298E-2</v>
      </c>
      <c r="E892" s="3">
        <v>44699</v>
      </c>
      <c r="F892" s="1">
        <v>78.319999999999993</v>
      </c>
      <c r="G892" s="4">
        <f t="shared" si="53"/>
        <v>-1.0486418193303981E-2</v>
      </c>
      <c r="I892" s="3">
        <v>44699</v>
      </c>
      <c r="J892" s="1">
        <v>85.091999999999999</v>
      </c>
      <c r="K892" s="4">
        <f t="shared" si="54"/>
        <v>-2.4610552619814596E-2</v>
      </c>
      <c r="M892" s="5">
        <v>44699</v>
      </c>
      <c r="N892" s="2">
        <v>16259.3</v>
      </c>
      <c r="O892" s="4">
        <f t="shared" si="55"/>
        <v>2.6321935577536149E-2</v>
      </c>
    </row>
    <row r="893" spans="1:15" x14ac:dyDescent="0.25">
      <c r="A893" s="3">
        <v>44698</v>
      </c>
      <c r="B893" s="1">
        <v>207.64599999999999</v>
      </c>
      <c r="C893" s="4">
        <f t="shared" si="52"/>
        <v>4.7273659813515945E-3</v>
      </c>
      <c r="E893" s="3">
        <v>44698</v>
      </c>
      <c r="F893" s="1">
        <v>79.150000000000006</v>
      </c>
      <c r="G893" s="4">
        <f t="shared" si="53"/>
        <v>-5.9030394373272843E-3</v>
      </c>
      <c r="I893" s="3">
        <v>44698</v>
      </c>
      <c r="J893" s="1">
        <v>87.239000000000004</v>
      </c>
      <c r="K893" s="4">
        <f t="shared" si="54"/>
        <v>-9.1618089991862828E-4</v>
      </c>
      <c r="M893" s="5">
        <v>44698</v>
      </c>
      <c r="N893" s="2">
        <v>15842.3</v>
      </c>
      <c r="O893" s="4">
        <f t="shared" si="55"/>
        <v>3.811267793044637E-3</v>
      </c>
    </row>
    <row r="894" spans="1:15" x14ac:dyDescent="0.25">
      <c r="A894" s="3">
        <v>44697</v>
      </c>
      <c r="B894" s="1">
        <v>206.66900000000001</v>
      </c>
      <c r="C894" s="4">
        <f t="shared" si="52"/>
        <v>1.0912843991821575E-2</v>
      </c>
      <c r="E894" s="3">
        <v>44697</v>
      </c>
      <c r="F894" s="1">
        <v>79.62</v>
      </c>
      <c r="G894" s="4">
        <f t="shared" si="53"/>
        <v>0</v>
      </c>
      <c r="I894" s="3">
        <v>44697</v>
      </c>
      <c r="J894" s="1">
        <v>87.319000000000003</v>
      </c>
      <c r="K894" s="4">
        <f t="shared" si="54"/>
        <v>2.2626395118694909E-2</v>
      </c>
      <c r="M894" s="5">
        <v>44697</v>
      </c>
      <c r="N894" s="2">
        <v>15782.15</v>
      </c>
      <c r="O894" s="4">
        <f t="shared" si="55"/>
        <v>-1.6352479757085758E-3</v>
      </c>
    </row>
    <row r="895" spans="1:15" x14ac:dyDescent="0.25">
      <c r="A895" s="3">
        <v>44694</v>
      </c>
      <c r="B895" s="1">
        <v>204.43799999999999</v>
      </c>
      <c r="C895" s="4">
        <f t="shared" si="52"/>
        <v>-9.6305697925649358E-3</v>
      </c>
      <c r="E895" s="3">
        <v>44694</v>
      </c>
      <c r="F895" s="1">
        <v>79.62</v>
      </c>
      <c r="G895" s="4">
        <f t="shared" si="53"/>
        <v>2.3919753086419693E-2</v>
      </c>
      <c r="I895" s="3">
        <v>44694</v>
      </c>
      <c r="J895" s="1">
        <v>85.387</v>
      </c>
      <c r="K895" s="4">
        <f t="shared" si="54"/>
        <v>5.2388688752325052E-3</v>
      </c>
      <c r="M895" s="5">
        <v>44694</v>
      </c>
      <c r="N895" s="2">
        <v>15808</v>
      </c>
      <c r="O895" s="4">
        <f t="shared" si="55"/>
        <v>-2.2211775766835085E-2</v>
      </c>
    </row>
    <row r="896" spans="1:15" x14ac:dyDescent="0.25">
      <c r="A896" s="3">
        <v>44693</v>
      </c>
      <c r="B896" s="1">
        <v>206.42599999999999</v>
      </c>
      <c r="C896" s="4">
        <f t="shared" si="52"/>
        <v>-6.5356331575097126E-3</v>
      </c>
      <c r="E896" s="3">
        <v>44693</v>
      </c>
      <c r="F896" s="1">
        <v>77.760000000000005</v>
      </c>
      <c r="G896" s="4">
        <f t="shared" si="53"/>
        <v>-2.544178468479763E-2</v>
      </c>
      <c r="I896" s="3">
        <v>44693</v>
      </c>
      <c r="J896" s="1">
        <v>84.941999999999993</v>
      </c>
      <c r="K896" s="4">
        <f t="shared" si="54"/>
        <v>-2.3021447532243222E-3</v>
      </c>
      <c r="M896" s="5">
        <v>44693</v>
      </c>
      <c r="N896" s="2">
        <v>16167.1</v>
      </c>
      <c r="O896" s="4">
        <f t="shared" si="55"/>
        <v>-4.4919812439000451E-3</v>
      </c>
    </row>
    <row r="897" spans="1:15" x14ac:dyDescent="0.25">
      <c r="A897" s="3">
        <v>44692</v>
      </c>
      <c r="B897" s="1">
        <v>207.78399999999999</v>
      </c>
      <c r="C897" s="4">
        <f t="shared" si="52"/>
        <v>-1.8446639252911456E-3</v>
      </c>
      <c r="E897" s="3">
        <v>44692</v>
      </c>
      <c r="F897" s="1">
        <v>79.790000000000006</v>
      </c>
      <c r="G897" s="4">
        <f t="shared" si="53"/>
        <v>-2.5003125390672398E-3</v>
      </c>
      <c r="I897" s="3">
        <v>44692</v>
      </c>
      <c r="J897" s="1">
        <v>85.138000000000005</v>
      </c>
      <c r="K897" s="4">
        <f t="shared" si="54"/>
        <v>-2.1346054370940837E-2</v>
      </c>
      <c r="M897" s="5">
        <v>44692</v>
      </c>
      <c r="N897" s="2">
        <v>16240.05</v>
      </c>
      <c r="O897" s="4">
        <f t="shared" si="55"/>
        <v>-3.7909807782553484E-3</v>
      </c>
    </row>
    <row r="898" spans="1:15" x14ac:dyDescent="0.25">
      <c r="A898" s="3">
        <v>44691</v>
      </c>
      <c r="B898" s="1">
        <v>208.16800000000001</v>
      </c>
      <c r="C898" s="4">
        <f t="shared" si="52"/>
        <v>1.8738468916849049E-2</v>
      </c>
      <c r="E898" s="3">
        <v>44691</v>
      </c>
      <c r="F898" s="1">
        <v>79.989999999999995</v>
      </c>
      <c r="G898" s="4">
        <f t="shared" si="53"/>
        <v>2.3806476385511255E-2</v>
      </c>
      <c r="I898" s="3">
        <v>44691</v>
      </c>
      <c r="J898" s="1">
        <v>86.995000000000005</v>
      </c>
      <c r="K898" s="4">
        <f t="shared" si="54"/>
        <v>-4.257900580310614E-3</v>
      </c>
      <c r="M898" s="5">
        <v>44691</v>
      </c>
      <c r="N898" s="2">
        <v>16301.85</v>
      </c>
      <c r="O898" s="4">
        <f t="shared" si="55"/>
        <v>-6.6661588849112885E-3</v>
      </c>
    </row>
    <row r="899" spans="1:15" x14ac:dyDescent="0.25">
      <c r="A899" s="3">
        <v>44690</v>
      </c>
      <c r="B899" s="1">
        <v>204.339</v>
      </c>
      <c r="C899" s="4">
        <f t="shared" ref="C899:C962" si="56">(B899/B900)-1</f>
        <v>-1.6825766469716563E-2</v>
      </c>
      <c r="E899" s="3">
        <v>44690</v>
      </c>
      <c r="F899" s="1">
        <v>78.13</v>
      </c>
      <c r="G899" s="4">
        <f t="shared" ref="G899:G962" si="57">(F899/F900)-1</f>
        <v>8.3892617449663476E-3</v>
      </c>
      <c r="I899" s="3">
        <v>44690</v>
      </c>
      <c r="J899" s="1">
        <v>87.367000000000004</v>
      </c>
      <c r="K899" s="4">
        <f t="shared" ref="K899:K962" si="58">(J899/J900)-1</f>
        <v>-6.8320298290287518E-3</v>
      </c>
      <c r="M899" s="5">
        <v>44690</v>
      </c>
      <c r="N899" s="2">
        <v>16411.25</v>
      </c>
      <c r="O899" s="4">
        <f t="shared" ref="O899:O962" si="59">(N899/N900)-1</f>
        <v>-1.6268398605737144E-2</v>
      </c>
    </row>
    <row r="900" spans="1:15" x14ac:dyDescent="0.25">
      <c r="A900" s="3">
        <v>44687</v>
      </c>
      <c r="B900" s="1">
        <v>207.83600000000001</v>
      </c>
      <c r="C900" s="4">
        <f t="shared" si="56"/>
        <v>1.6144500508432635E-3</v>
      </c>
      <c r="E900" s="3">
        <v>44687</v>
      </c>
      <c r="F900" s="1">
        <v>77.48</v>
      </c>
      <c r="G900" s="4">
        <f t="shared" si="57"/>
        <v>3.8734667527440259E-4</v>
      </c>
      <c r="I900" s="3">
        <v>44687</v>
      </c>
      <c r="J900" s="1">
        <v>87.968000000000004</v>
      </c>
      <c r="K900" s="4">
        <f t="shared" si="58"/>
        <v>-8.5878507832750639E-3</v>
      </c>
      <c r="M900" s="5">
        <v>44687</v>
      </c>
      <c r="N900" s="2">
        <v>16682.650000000001</v>
      </c>
      <c r="O900" s="4">
        <f t="shared" si="59"/>
        <v>3.0280136230653731E-4</v>
      </c>
    </row>
    <row r="901" spans="1:15" x14ac:dyDescent="0.25">
      <c r="A901" s="3">
        <v>44686</v>
      </c>
      <c r="B901" s="1">
        <v>207.501</v>
      </c>
      <c r="C901" s="4">
        <f t="shared" si="56"/>
        <v>1.7141820748612924E-2</v>
      </c>
      <c r="E901" s="3">
        <v>44686</v>
      </c>
      <c r="F901" s="1">
        <v>77.45</v>
      </c>
      <c r="G901" s="4">
        <f t="shared" si="57"/>
        <v>-1.9744336159979725E-2</v>
      </c>
      <c r="I901" s="3">
        <v>44686</v>
      </c>
      <c r="J901" s="1">
        <v>88.73</v>
      </c>
      <c r="K901" s="4">
        <f t="shared" si="58"/>
        <v>-1.5696932719507339E-2</v>
      </c>
      <c r="M901" s="5">
        <v>44686</v>
      </c>
      <c r="N901" s="2">
        <v>16677.599999999999</v>
      </c>
      <c r="O901" s="4">
        <f t="shared" si="59"/>
        <v>-2.293618292704358E-2</v>
      </c>
    </row>
    <row r="902" spans="1:15" x14ac:dyDescent="0.25">
      <c r="A902" s="3">
        <v>44685</v>
      </c>
      <c r="B902" s="1">
        <v>204.00399999999999</v>
      </c>
      <c r="C902" s="4">
        <f t="shared" si="56"/>
        <v>5.9666459559946095E-3</v>
      </c>
      <c r="E902" s="3">
        <v>44685</v>
      </c>
      <c r="F902" s="1">
        <v>79.010000000000005</v>
      </c>
      <c r="G902" s="4">
        <f t="shared" si="57"/>
        <v>-3.9082198688853431E-3</v>
      </c>
      <c r="I902" s="3">
        <v>44685</v>
      </c>
      <c r="J902" s="1">
        <v>90.144999999999996</v>
      </c>
      <c r="K902" s="4">
        <f t="shared" si="58"/>
        <v>-3.3278608510434182E-5</v>
      </c>
      <c r="M902" s="5">
        <v>44685</v>
      </c>
      <c r="N902" s="2">
        <v>17069.099999999999</v>
      </c>
      <c r="O902" s="4">
        <f t="shared" si="59"/>
        <v>-1.9558486892305993E-3</v>
      </c>
    </row>
    <row r="903" spans="1:15" x14ac:dyDescent="0.25">
      <c r="A903" s="3">
        <v>44683</v>
      </c>
      <c r="B903" s="1">
        <v>202.79400000000001</v>
      </c>
      <c r="C903" s="4">
        <f t="shared" si="56"/>
        <v>1.4963628013096031E-3</v>
      </c>
      <c r="E903" s="3">
        <v>44683</v>
      </c>
      <c r="F903" s="1">
        <v>79.319999999999993</v>
      </c>
      <c r="G903" s="4">
        <f t="shared" si="57"/>
        <v>-7.6316777180034379E-3</v>
      </c>
      <c r="I903" s="3">
        <v>44683</v>
      </c>
      <c r="J903" s="1">
        <v>90.147999999999996</v>
      </c>
      <c r="K903" s="4">
        <f t="shared" si="58"/>
        <v>-2.244681081784472E-2</v>
      </c>
      <c r="M903" s="5">
        <v>44683</v>
      </c>
      <c r="N903" s="2">
        <v>17102.55</v>
      </c>
      <c r="O903" s="4">
        <f t="shared" si="59"/>
        <v>-8.263240756043011E-3</v>
      </c>
    </row>
    <row r="904" spans="1:15" x14ac:dyDescent="0.25">
      <c r="A904" s="3">
        <v>44680</v>
      </c>
      <c r="B904" s="1">
        <v>202.49100000000001</v>
      </c>
      <c r="C904" s="4">
        <f t="shared" si="56"/>
        <v>-1.5270071146860076E-2</v>
      </c>
      <c r="E904" s="3">
        <v>44680</v>
      </c>
      <c r="F904" s="1">
        <v>79.930000000000007</v>
      </c>
      <c r="G904" s="4">
        <f t="shared" si="57"/>
        <v>-9.0503347384079946E-3</v>
      </c>
      <c r="I904" s="3">
        <v>44680</v>
      </c>
      <c r="J904" s="1">
        <v>92.218000000000004</v>
      </c>
      <c r="K904" s="4">
        <f t="shared" si="58"/>
        <v>-3.5980162288899997E-3</v>
      </c>
      <c r="M904" s="5">
        <v>44680</v>
      </c>
      <c r="N904" s="2">
        <v>17245.05</v>
      </c>
      <c r="O904" s="4">
        <f t="shared" si="59"/>
        <v>1.2128486242839465E-2</v>
      </c>
    </row>
    <row r="905" spans="1:15" x14ac:dyDescent="0.25">
      <c r="A905" s="3">
        <v>44679</v>
      </c>
      <c r="B905" s="1">
        <v>205.631</v>
      </c>
      <c r="C905" s="4">
        <f t="shared" si="56"/>
        <v>-7.7687330209756933E-3</v>
      </c>
      <c r="E905" s="3">
        <v>44679</v>
      </c>
      <c r="F905" s="1">
        <v>80.66</v>
      </c>
      <c r="G905" s="4">
        <f t="shared" si="57"/>
        <v>-1.4056961251680766E-2</v>
      </c>
      <c r="I905" s="3">
        <v>44679</v>
      </c>
      <c r="J905" s="1">
        <v>92.551000000000002</v>
      </c>
      <c r="K905" s="4">
        <f t="shared" si="58"/>
        <v>-9.5035263647940127E-3</v>
      </c>
      <c r="M905" s="5">
        <v>44679</v>
      </c>
      <c r="N905" s="2">
        <v>17038.400000000001</v>
      </c>
      <c r="O905" s="4">
        <f t="shared" si="59"/>
        <v>-9.4414213292404181E-3</v>
      </c>
    </row>
    <row r="906" spans="1:15" x14ac:dyDescent="0.25">
      <c r="A906" s="3">
        <v>44678</v>
      </c>
      <c r="B906" s="1">
        <v>207.24100000000001</v>
      </c>
      <c r="C906" s="4">
        <f t="shared" si="56"/>
        <v>-1.1891196033089413E-2</v>
      </c>
      <c r="E906" s="3">
        <v>44678</v>
      </c>
      <c r="F906" s="1">
        <v>81.81</v>
      </c>
      <c r="G906" s="4">
        <f t="shared" si="57"/>
        <v>1.2224938875315949E-4</v>
      </c>
      <c r="I906" s="3">
        <v>44678</v>
      </c>
      <c r="J906" s="1">
        <v>93.438999999999993</v>
      </c>
      <c r="K906" s="4">
        <f t="shared" si="58"/>
        <v>1.3339261894175003E-2</v>
      </c>
      <c r="M906" s="5">
        <v>44678</v>
      </c>
      <c r="N906" s="2">
        <v>17200.8</v>
      </c>
      <c r="O906" s="4">
        <f t="shared" si="59"/>
        <v>1.4560028783852541E-2</v>
      </c>
    </row>
    <row r="907" spans="1:15" x14ac:dyDescent="0.25">
      <c r="A907" s="3">
        <v>44677</v>
      </c>
      <c r="B907" s="1">
        <v>209.73500000000001</v>
      </c>
      <c r="C907" s="4">
        <f t="shared" si="56"/>
        <v>-8.0449876085434413E-3</v>
      </c>
      <c r="E907" s="3">
        <v>44677</v>
      </c>
      <c r="F907" s="1">
        <v>81.8</v>
      </c>
      <c r="G907" s="4">
        <f t="shared" si="57"/>
        <v>-2.199904351984705E-2</v>
      </c>
      <c r="I907" s="3">
        <v>44677</v>
      </c>
      <c r="J907" s="1">
        <v>92.209000000000003</v>
      </c>
      <c r="K907" s="4">
        <f t="shared" si="58"/>
        <v>-9.7618075989603925E-3</v>
      </c>
      <c r="M907" s="5">
        <v>44677</v>
      </c>
      <c r="N907" s="2">
        <v>16953.95</v>
      </c>
      <c r="O907" s="4">
        <f t="shared" si="59"/>
        <v>-1.2695121986728397E-2</v>
      </c>
    </row>
    <row r="908" spans="1:15" x14ac:dyDescent="0.25">
      <c r="A908" s="3">
        <v>44676</v>
      </c>
      <c r="B908" s="1">
        <v>211.43600000000001</v>
      </c>
      <c r="C908" s="4">
        <f t="shared" si="56"/>
        <v>-1.4670245684673566E-2</v>
      </c>
      <c r="E908" s="3">
        <v>44676</v>
      </c>
      <c r="F908" s="1">
        <v>83.64</v>
      </c>
      <c r="G908" s="4">
        <f t="shared" si="57"/>
        <v>-2.5044722719140822E-3</v>
      </c>
      <c r="I908" s="3">
        <v>44676</v>
      </c>
      <c r="J908" s="1">
        <v>93.117999999999995</v>
      </c>
      <c r="K908" s="4">
        <f t="shared" si="58"/>
        <v>1.4810536296167021E-2</v>
      </c>
      <c r="M908" s="5">
        <v>44676</v>
      </c>
      <c r="N908" s="2">
        <v>17171.95</v>
      </c>
      <c r="O908" s="4">
        <f t="shared" si="59"/>
        <v>-1.2686429860975235E-2</v>
      </c>
    </row>
    <row r="909" spans="1:15" x14ac:dyDescent="0.25">
      <c r="A909" s="3">
        <v>44673</v>
      </c>
      <c r="B909" s="1">
        <v>214.584</v>
      </c>
      <c r="C909" s="4">
        <f t="shared" si="56"/>
        <v>2.5087947974042901E-3</v>
      </c>
      <c r="E909" s="3">
        <v>44673</v>
      </c>
      <c r="F909" s="1">
        <v>83.85</v>
      </c>
      <c r="G909" s="4">
        <f t="shared" si="57"/>
        <v>0</v>
      </c>
      <c r="I909" s="3">
        <v>44673</v>
      </c>
      <c r="J909" s="1">
        <v>91.759</v>
      </c>
      <c r="K909" s="4">
        <f t="shared" si="58"/>
        <v>-1.5049215873595201E-2</v>
      </c>
      <c r="M909" s="5">
        <v>44673</v>
      </c>
      <c r="N909" s="2">
        <v>17392.599999999999</v>
      </c>
      <c r="O909" s="4">
        <f t="shared" si="59"/>
        <v>1.4941747317867238E-2</v>
      </c>
    </row>
    <row r="910" spans="1:15" x14ac:dyDescent="0.25">
      <c r="A910" s="3">
        <v>44672</v>
      </c>
      <c r="B910" s="1">
        <v>214.047</v>
      </c>
      <c r="C910" s="4">
        <f t="shared" si="56"/>
        <v>-1.48975534323742E-2</v>
      </c>
      <c r="E910" s="3">
        <v>44672</v>
      </c>
      <c r="F910" s="1">
        <v>83.85</v>
      </c>
      <c r="G910" s="4">
        <f t="shared" si="57"/>
        <v>-1.0619469026548756E-2</v>
      </c>
      <c r="I910" s="3">
        <v>44672</v>
      </c>
      <c r="J910" s="1">
        <v>93.161000000000001</v>
      </c>
      <c r="K910" s="4">
        <f t="shared" si="58"/>
        <v>-1.2758967837651625E-2</v>
      </c>
      <c r="M910" s="5">
        <v>44672</v>
      </c>
      <c r="N910" s="2">
        <v>17136.55</v>
      </c>
      <c r="O910" s="4">
        <f t="shared" si="59"/>
        <v>1.0490221804211775E-2</v>
      </c>
    </row>
    <row r="911" spans="1:15" x14ac:dyDescent="0.25">
      <c r="A911" s="3">
        <v>44671</v>
      </c>
      <c r="B911" s="1">
        <v>217.28399999999999</v>
      </c>
      <c r="C911" s="4">
        <f t="shared" si="56"/>
        <v>-2.6347437321558864E-3</v>
      </c>
      <c r="E911" s="3">
        <v>44671</v>
      </c>
      <c r="F911" s="1">
        <v>84.75</v>
      </c>
      <c r="G911" s="4">
        <f t="shared" si="57"/>
        <v>1.0612926305747727E-2</v>
      </c>
      <c r="I911" s="3">
        <v>44671</v>
      </c>
      <c r="J911" s="1">
        <v>94.364999999999995</v>
      </c>
      <c r="K911" s="4">
        <f t="shared" si="58"/>
        <v>1.0093982145533253E-2</v>
      </c>
      <c r="M911" s="5">
        <v>44671</v>
      </c>
      <c r="N911" s="2">
        <v>16958.650000000001</v>
      </c>
      <c r="O911" s="4">
        <f t="shared" si="59"/>
        <v>-1.251917909122402E-2</v>
      </c>
    </row>
    <row r="912" spans="1:15" x14ac:dyDescent="0.25">
      <c r="A912" s="3">
        <v>44670</v>
      </c>
      <c r="B912" s="1">
        <v>217.858</v>
      </c>
      <c r="C912" s="4">
        <f t="shared" si="56"/>
        <v>-4.9556277204569898E-3</v>
      </c>
      <c r="E912" s="3">
        <v>44670</v>
      </c>
      <c r="F912" s="1">
        <v>83.86</v>
      </c>
      <c r="G912" s="4">
        <f t="shared" si="57"/>
        <v>-1.1667648791985785E-2</v>
      </c>
      <c r="I912" s="3">
        <v>44670</v>
      </c>
      <c r="J912" s="1">
        <v>93.421999999999997</v>
      </c>
      <c r="K912" s="4">
        <f t="shared" si="58"/>
        <v>8.1039375856524209E-3</v>
      </c>
      <c r="M912" s="5">
        <v>44670</v>
      </c>
      <c r="N912" s="2">
        <v>17173.650000000001</v>
      </c>
      <c r="O912" s="4">
        <f t="shared" si="59"/>
        <v>-1.7281188396425895E-2</v>
      </c>
    </row>
    <row r="913" spans="1:15" x14ac:dyDescent="0.25">
      <c r="A913" s="3">
        <v>44669</v>
      </c>
      <c r="B913" s="1">
        <v>218.94300000000001</v>
      </c>
      <c r="C913" s="4">
        <f t="shared" si="56"/>
        <v>7.2318754571676358E-3</v>
      </c>
      <c r="E913" s="3">
        <v>44669</v>
      </c>
      <c r="F913" s="1">
        <v>84.85</v>
      </c>
      <c r="G913" s="4">
        <f t="shared" si="57"/>
        <v>1.3618444630271176E-2</v>
      </c>
      <c r="I913" s="3">
        <v>44669</v>
      </c>
      <c r="J913" s="1">
        <v>92.671000000000006</v>
      </c>
      <c r="K913" s="4">
        <f t="shared" si="58"/>
        <v>-7.9750792155518502E-3</v>
      </c>
      <c r="M913" s="5">
        <v>44669</v>
      </c>
      <c r="N913" s="2">
        <v>17475.650000000001</v>
      </c>
      <c r="O913" s="4">
        <f t="shared" si="59"/>
        <v>-3.1174594844354253E-3</v>
      </c>
    </row>
    <row r="914" spans="1:15" x14ac:dyDescent="0.25">
      <c r="A914" s="3">
        <v>44664</v>
      </c>
      <c r="B914" s="1">
        <v>217.37100000000001</v>
      </c>
      <c r="C914" s="4">
        <f t="shared" si="56"/>
        <v>-6.4084690523966703E-3</v>
      </c>
      <c r="E914" s="3">
        <v>44664</v>
      </c>
      <c r="F914" s="1">
        <v>83.71</v>
      </c>
      <c r="G914" s="4">
        <f t="shared" si="57"/>
        <v>-1.2271386430678488E-2</v>
      </c>
      <c r="I914" s="3">
        <v>44664</v>
      </c>
      <c r="J914" s="1">
        <v>93.415999999999997</v>
      </c>
      <c r="K914" s="4">
        <f t="shared" si="58"/>
        <v>-1.1429055198103555E-2</v>
      </c>
      <c r="M914" s="5">
        <v>44664</v>
      </c>
      <c r="N914" s="2">
        <v>17530.3</v>
      </c>
      <c r="O914" s="4">
        <f t="shared" si="59"/>
        <v>-8.1838986814674053E-3</v>
      </c>
    </row>
    <row r="915" spans="1:15" x14ac:dyDescent="0.25">
      <c r="A915" s="3">
        <v>44663</v>
      </c>
      <c r="B915" s="1">
        <v>218.773</v>
      </c>
      <c r="C915" s="4">
        <f t="shared" si="56"/>
        <v>1.0694915410841777E-2</v>
      </c>
      <c r="E915" s="3">
        <v>44663</v>
      </c>
      <c r="F915" s="1">
        <v>84.75</v>
      </c>
      <c r="G915" s="4">
        <f t="shared" si="57"/>
        <v>-1.3272790778903309E-2</v>
      </c>
      <c r="I915" s="3">
        <v>44663</v>
      </c>
      <c r="J915" s="1">
        <v>94.495999999999995</v>
      </c>
      <c r="K915" s="4">
        <f t="shared" si="58"/>
        <v>-1.0465669432845326E-3</v>
      </c>
      <c r="M915" s="5">
        <v>44663</v>
      </c>
      <c r="N915" s="2">
        <v>17674.95</v>
      </c>
      <c r="O915" s="4">
        <f t="shared" si="59"/>
        <v>-6.1514758762618582E-3</v>
      </c>
    </row>
    <row r="916" spans="1:15" x14ac:dyDescent="0.25">
      <c r="A916" s="3">
        <v>44662</v>
      </c>
      <c r="B916" s="1">
        <v>216.458</v>
      </c>
      <c r="C916" s="4">
        <f t="shared" si="56"/>
        <v>-1.1796824353320412E-2</v>
      </c>
      <c r="E916" s="3">
        <v>44662</v>
      </c>
      <c r="F916" s="1">
        <v>85.89</v>
      </c>
      <c r="G916" s="4">
        <f t="shared" si="57"/>
        <v>1.3810198300283405E-2</v>
      </c>
      <c r="I916" s="3">
        <v>44662</v>
      </c>
      <c r="J916" s="1">
        <v>94.594999999999999</v>
      </c>
      <c r="K916" s="4">
        <f t="shared" si="58"/>
        <v>-9.0094809072337467E-3</v>
      </c>
      <c r="M916" s="5">
        <v>44662</v>
      </c>
      <c r="N916" s="2">
        <v>17784.349999999999</v>
      </c>
      <c r="O916" s="4">
        <f t="shared" si="59"/>
        <v>8.208826188876639E-3</v>
      </c>
    </row>
    <row r="917" spans="1:15" x14ac:dyDescent="0.25">
      <c r="A917" s="3">
        <v>44659</v>
      </c>
      <c r="B917" s="1">
        <v>219.042</v>
      </c>
      <c r="C917" s="4">
        <f t="shared" si="56"/>
        <v>-7.5799107446253844E-3</v>
      </c>
      <c r="E917" s="3">
        <v>44659</v>
      </c>
      <c r="F917" s="1">
        <v>84.72</v>
      </c>
      <c r="G917" s="4">
        <f t="shared" si="57"/>
        <v>6.7736185383242553E-3</v>
      </c>
      <c r="I917" s="3">
        <v>44659</v>
      </c>
      <c r="J917" s="1">
        <v>95.454999999999998</v>
      </c>
      <c r="K917" s="4">
        <f t="shared" si="58"/>
        <v>-3.5908516790363887E-3</v>
      </c>
      <c r="M917" s="5">
        <v>44659</v>
      </c>
      <c r="N917" s="2">
        <v>17639.55</v>
      </c>
      <c r="O917" s="4">
        <f t="shared" si="59"/>
        <v>-9.4397632478178117E-3</v>
      </c>
    </row>
    <row r="918" spans="1:15" x14ac:dyDescent="0.25">
      <c r="A918" s="3">
        <v>44658</v>
      </c>
      <c r="B918" s="1">
        <v>220.715</v>
      </c>
      <c r="C918" s="4">
        <f t="shared" si="56"/>
        <v>8.2039475787847316E-3</v>
      </c>
      <c r="E918" s="3">
        <v>44658</v>
      </c>
      <c r="F918" s="1">
        <v>84.15</v>
      </c>
      <c r="G918" s="4">
        <f t="shared" si="57"/>
        <v>-1.2208005634464003E-2</v>
      </c>
      <c r="I918" s="3">
        <v>44658</v>
      </c>
      <c r="J918" s="1">
        <v>95.799000000000007</v>
      </c>
      <c r="K918" s="4">
        <f t="shared" si="58"/>
        <v>9.4305824833516017E-3</v>
      </c>
      <c r="M918" s="5">
        <v>44658</v>
      </c>
      <c r="N918" s="2">
        <v>17807.650000000001</v>
      </c>
      <c r="O918" s="4">
        <f t="shared" si="59"/>
        <v>-8.3391805049728429E-3</v>
      </c>
    </row>
    <row r="919" spans="1:15" x14ac:dyDescent="0.25">
      <c r="A919" s="3">
        <v>44657</v>
      </c>
      <c r="B919" s="1">
        <v>218.91900000000001</v>
      </c>
      <c r="C919" s="4">
        <f t="shared" si="56"/>
        <v>7.4783473082551399E-3</v>
      </c>
      <c r="E919" s="3">
        <v>44657</v>
      </c>
      <c r="F919" s="1">
        <v>85.19</v>
      </c>
      <c r="G919" s="4">
        <f t="shared" si="57"/>
        <v>-1.3547938860583586E-2</v>
      </c>
      <c r="I919" s="3">
        <v>44657</v>
      </c>
      <c r="J919" s="1">
        <v>94.903999999999996</v>
      </c>
      <c r="K919" s="4">
        <f t="shared" si="58"/>
        <v>-3.8939910784572263E-3</v>
      </c>
      <c r="M919" s="5">
        <v>44657</v>
      </c>
      <c r="N919" s="2">
        <v>17957.400000000001</v>
      </c>
      <c r="O919" s="4">
        <f t="shared" si="59"/>
        <v>-5.3175579115291027E-3</v>
      </c>
    </row>
    <row r="920" spans="1:15" x14ac:dyDescent="0.25">
      <c r="A920" s="3">
        <v>44656</v>
      </c>
      <c r="B920" s="1">
        <v>217.29400000000001</v>
      </c>
      <c r="C920" s="4">
        <f t="shared" si="56"/>
        <v>-6.9193082519833915E-3</v>
      </c>
      <c r="E920" s="3">
        <v>44656</v>
      </c>
      <c r="F920" s="1">
        <v>86.36</v>
      </c>
      <c r="G920" s="4">
        <f t="shared" si="57"/>
        <v>-9.2549745488201829E-4</v>
      </c>
      <c r="I920" s="3">
        <v>44656</v>
      </c>
      <c r="J920" s="1">
        <v>95.275000000000006</v>
      </c>
      <c r="K920" s="4">
        <f t="shared" si="58"/>
        <v>-3.5350841412777889E-3</v>
      </c>
      <c r="M920" s="5">
        <v>44656</v>
      </c>
      <c r="N920" s="2">
        <v>18053.400000000001</v>
      </c>
      <c r="O920" s="4">
        <f t="shared" si="59"/>
        <v>2.1671774063478866E-2</v>
      </c>
    </row>
    <row r="921" spans="1:15" x14ac:dyDescent="0.25">
      <c r="A921" s="3">
        <v>44655</v>
      </c>
      <c r="B921" s="1">
        <v>218.80799999999999</v>
      </c>
      <c r="C921" s="4">
        <f t="shared" si="56"/>
        <v>-9.5914034952722105E-3</v>
      </c>
      <c r="E921" s="3">
        <v>44655</v>
      </c>
      <c r="F921" s="1">
        <v>86.44</v>
      </c>
      <c r="G921" s="4">
        <f t="shared" si="57"/>
        <v>-9.3972037588815338E-3</v>
      </c>
      <c r="I921" s="3">
        <v>44655</v>
      </c>
      <c r="J921" s="1">
        <v>95.613</v>
      </c>
      <c r="K921" s="4">
        <f t="shared" si="58"/>
        <v>5.4415504232885326E-4</v>
      </c>
      <c r="M921" s="5">
        <v>44655</v>
      </c>
      <c r="N921" s="2">
        <v>17670.45</v>
      </c>
      <c r="O921" s="4">
        <f t="shared" si="59"/>
        <v>1.1778009991554539E-2</v>
      </c>
    </row>
    <row r="922" spans="1:15" x14ac:dyDescent="0.25">
      <c r="A922" s="3">
        <v>44652</v>
      </c>
      <c r="B922" s="1">
        <v>220.92699999999999</v>
      </c>
      <c r="C922" s="4">
        <f t="shared" si="56"/>
        <v>3.1694716490759944E-4</v>
      </c>
      <c r="E922" s="3">
        <v>44652</v>
      </c>
      <c r="F922" s="1">
        <v>87.26</v>
      </c>
      <c r="G922" s="4">
        <f t="shared" si="57"/>
        <v>1.1473152822396582E-3</v>
      </c>
      <c r="I922" s="3">
        <v>44652</v>
      </c>
      <c r="J922" s="1">
        <v>95.561000000000007</v>
      </c>
      <c r="K922" s="4">
        <f t="shared" si="58"/>
        <v>1.37269670192115E-2</v>
      </c>
      <c r="M922" s="5">
        <v>44652</v>
      </c>
      <c r="N922" s="2">
        <v>17464.75</v>
      </c>
      <c r="O922" s="4">
        <f t="shared" si="59"/>
        <v>-1.9144771620018819E-3</v>
      </c>
    </row>
    <row r="923" spans="1:15" x14ac:dyDescent="0.25">
      <c r="A923" s="3">
        <v>44651</v>
      </c>
      <c r="B923" s="1">
        <v>220.857</v>
      </c>
      <c r="C923" s="4">
        <f t="shared" si="56"/>
        <v>-6.5448558782252864E-3</v>
      </c>
      <c r="E923" s="3">
        <v>44651</v>
      </c>
      <c r="F923" s="1">
        <v>87.16</v>
      </c>
      <c r="G923" s="4">
        <f t="shared" si="57"/>
        <v>4.0317935721689846E-3</v>
      </c>
      <c r="I923" s="3">
        <v>44651</v>
      </c>
      <c r="J923" s="1">
        <v>94.266999999999996</v>
      </c>
      <c r="K923" s="4">
        <f t="shared" si="58"/>
        <v>1.0212829800458678E-2</v>
      </c>
      <c r="M923" s="5">
        <v>44651</v>
      </c>
      <c r="N923" s="2">
        <v>17498.25</v>
      </c>
      <c r="O923" s="4">
        <f t="shared" si="59"/>
        <v>9.9825111253484256E-3</v>
      </c>
    </row>
    <row r="924" spans="1:15" x14ac:dyDescent="0.25">
      <c r="A924" s="3">
        <v>44650</v>
      </c>
      <c r="B924" s="1">
        <v>222.31200000000001</v>
      </c>
      <c r="C924" s="4">
        <f t="shared" si="56"/>
        <v>2.1366943445217945E-3</v>
      </c>
      <c r="E924" s="3">
        <v>44650</v>
      </c>
      <c r="F924" s="1">
        <v>86.81</v>
      </c>
      <c r="G924" s="4">
        <f t="shared" si="57"/>
        <v>-4.586629973626799E-3</v>
      </c>
      <c r="I924" s="3">
        <v>44650</v>
      </c>
      <c r="J924" s="1">
        <v>93.313999999999993</v>
      </c>
      <c r="K924" s="4">
        <f t="shared" si="58"/>
        <v>1.7175859329712218E-3</v>
      </c>
      <c r="M924" s="5">
        <v>44650</v>
      </c>
      <c r="N924" s="2">
        <v>17325.3</v>
      </c>
      <c r="O924" s="4">
        <f t="shared" si="59"/>
        <v>5.9981419115084922E-3</v>
      </c>
    </row>
    <row r="925" spans="1:15" x14ac:dyDescent="0.25">
      <c r="A925" s="3">
        <v>44649</v>
      </c>
      <c r="B925" s="1">
        <v>221.83799999999999</v>
      </c>
      <c r="C925" s="4">
        <f t="shared" si="56"/>
        <v>1.3806057116220405E-2</v>
      </c>
      <c r="E925" s="3">
        <v>44649</v>
      </c>
      <c r="F925" s="1">
        <v>87.21</v>
      </c>
      <c r="G925" s="4">
        <f t="shared" si="57"/>
        <v>-4.2247088376342612E-3</v>
      </c>
      <c r="I925" s="3">
        <v>44649</v>
      </c>
      <c r="J925" s="1">
        <v>93.153999999999996</v>
      </c>
      <c r="K925" s="4">
        <f t="shared" si="58"/>
        <v>8.869875995018095E-3</v>
      </c>
      <c r="M925" s="5">
        <v>44649</v>
      </c>
      <c r="N925" s="2">
        <v>17222</v>
      </c>
      <c r="O925" s="4">
        <f t="shared" si="59"/>
        <v>4.0226199498629711E-3</v>
      </c>
    </row>
    <row r="926" spans="1:15" x14ac:dyDescent="0.25">
      <c r="A926" s="3">
        <v>44648</v>
      </c>
      <c r="B926" s="1">
        <v>218.81700000000001</v>
      </c>
      <c r="C926" s="4">
        <f t="shared" si="56"/>
        <v>-4.7505721241902776E-4</v>
      </c>
      <c r="E926" s="3">
        <v>44648</v>
      </c>
      <c r="F926" s="1">
        <v>87.58</v>
      </c>
      <c r="G926" s="4">
        <f t="shared" si="57"/>
        <v>1.1431184270689343E-3</v>
      </c>
      <c r="I926" s="3">
        <v>44648</v>
      </c>
      <c r="J926" s="1">
        <v>92.334999999999994</v>
      </c>
      <c r="K926" s="4">
        <f t="shared" si="58"/>
        <v>7.4521014271373698E-3</v>
      </c>
      <c r="M926" s="5">
        <v>44648</v>
      </c>
      <c r="N926" s="2">
        <v>17153</v>
      </c>
      <c r="O926" s="4">
        <f t="shared" si="59"/>
        <v>-4.049875890900112E-3</v>
      </c>
    </row>
    <row r="927" spans="1:15" x14ac:dyDescent="0.25">
      <c r="A927" s="3">
        <v>44645</v>
      </c>
      <c r="B927" s="1">
        <v>218.92099999999999</v>
      </c>
      <c r="C927" s="4">
        <f t="shared" si="56"/>
        <v>6.3076198790579241E-4</v>
      </c>
      <c r="E927" s="3">
        <v>44645</v>
      </c>
      <c r="F927" s="1">
        <v>87.48</v>
      </c>
      <c r="G927" s="4">
        <f t="shared" si="57"/>
        <v>1.6972797023947939E-2</v>
      </c>
      <c r="I927" s="3">
        <v>44645</v>
      </c>
      <c r="J927" s="1">
        <v>91.652000000000001</v>
      </c>
      <c r="K927" s="4">
        <f t="shared" si="58"/>
        <v>3.8554216867470181E-3</v>
      </c>
      <c r="M927" s="5">
        <v>44645</v>
      </c>
      <c r="N927" s="2">
        <v>17222.75</v>
      </c>
      <c r="O927" s="4">
        <f t="shared" si="59"/>
        <v>-1.3278710863320331E-3</v>
      </c>
    </row>
    <row r="928" spans="1:15" x14ac:dyDescent="0.25">
      <c r="A928" s="3">
        <v>44644</v>
      </c>
      <c r="B928" s="1">
        <v>218.78299999999999</v>
      </c>
      <c r="C928" s="4">
        <f t="shared" si="56"/>
        <v>5.7185148410170417E-3</v>
      </c>
      <c r="E928" s="3">
        <v>44644</v>
      </c>
      <c r="F928" s="1">
        <v>86.02</v>
      </c>
      <c r="G928" s="4">
        <f t="shared" si="57"/>
        <v>1.0573308270676485E-2</v>
      </c>
      <c r="I928" s="3">
        <v>44644</v>
      </c>
      <c r="J928" s="1">
        <v>91.3</v>
      </c>
      <c r="K928" s="4">
        <f t="shared" si="58"/>
        <v>-4.1774374747772791E-3</v>
      </c>
      <c r="M928" s="5">
        <v>44644</v>
      </c>
      <c r="N928" s="2">
        <v>17245.650000000001</v>
      </c>
      <c r="O928" s="4">
        <f t="shared" si="59"/>
        <v>-4.0339580144955756E-3</v>
      </c>
    </row>
    <row r="929" spans="1:15" x14ac:dyDescent="0.25">
      <c r="A929" s="3">
        <v>44643</v>
      </c>
      <c r="B929" s="1">
        <v>217.53899999999999</v>
      </c>
      <c r="C929" s="4">
        <f t="shared" si="56"/>
        <v>1.3657459181391163E-2</v>
      </c>
      <c r="E929" s="3">
        <v>44643</v>
      </c>
      <c r="F929" s="1">
        <v>85.12</v>
      </c>
      <c r="G929" s="4">
        <f t="shared" si="57"/>
        <v>1.0584499588381924E-3</v>
      </c>
      <c r="I929" s="3">
        <v>44643</v>
      </c>
      <c r="J929" s="1">
        <v>91.683000000000007</v>
      </c>
      <c r="K929" s="4">
        <f t="shared" si="58"/>
        <v>1.1684284091904029E-3</v>
      </c>
      <c r="M929" s="5">
        <v>44643</v>
      </c>
      <c r="N929" s="2">
        <v>17315.5</v>
      </c>
      <c r="O929" s="4">
        <f t="shared" si="59"/>
        <v>1.1561200168247909E-2</v>
      </c>
    </row>
    <row r="930" spans="1:15" x14ac:dyDescent="0.25">
      <c r="A930" s="3">
        <v>44642</v>
      </c>
      <c r="B930" s="1">
        <v>214.608</v>
      </c>
      <c r="C930" s="4">
        <f t="shared" si="56"/>
        <v>1.2363965714878855E-2</v>
      </c>
      <c r="E930" s="3">
        <v>44642</v>
      </c>
      <c r="F930" s="1">
        <v>85.03</v>
      </c>
      <c r="G930" s="4">
        <f t="shared" si="57"/>
        <v>1.0457516339869244E-2</v>
      </c>
      <c r="I930" s="3">
        <v>44642</v>
      </c>
      <c r="J930" s="1">
        <v>91.575999999999993</v>
      </c>
      <c r="K930" s="4">
        <f t="shared" si="58"/>
        <v>-9.1643028583898722E-4</v>
      </c>
      <c r="M930" s="5">
        <v>44642</v>
      </c>
      <c r="N930" s="2">
        <v>17117.599999999999</v>
      </c>
      <c r="O930" s="4">
        <f t="shared" si="59"/>
        <v>-9.8021351242694177E-3</v>
      </c>
    </row>
    <row r="931" spans="1:15" x14ac:dyDescent="0.25">
      <c r="A931" s="3">
        <v>44641</v>
      </c>
      <c r="B931" s="1">
        <v>211.98699999999999</v>
      </c>
      <c r="C931" s="4">
        <f t="shared" si="56"/>
        <v>2.1367622379275808E-3</v>
      </c>
      <c r="E931" s="3">
        <v>44641</v>
      </c>
      <c r="F931" s="1">
        <v>84.15</v>
      </c>
      <c r="G931" s="4">
        <f t="shared" si="57"/>
        <v>5.9772863120144404E-3</v>
      </c>
      <c r="I931" s="3">
        <v>44641</v>
      </c>
      <c r="J931" s="1">
        <v>91.66</v>
      </c>
      <c r="K931" s="4">
        <f t="shared" si="58"/>
        <v>8.2388269846331852E-3</v>
      </c>
      <c r="M931" s="5">
        <v>44641</v>
      </c>
      <c r="N931" s="2">
        <v>17287.05</v>
      </c>
      <c r="O931" s="4">
        <f t="shared" si="59"/>
        <v>1.8361918900052121E-2</v>
      </c>
    </row>
    <row r="932" spans="1:15" x14ac:dyDescent="0.25">
      <c r="A932" s="3">
        <v>44637</v>
      </c>
      <c r="B932" s="1">
        <v>211.535</v>
      </c>
      <c r="C932" s="4">
        <f t="shared" si="56"/>
        <v>6.7534124007690988E-3</v>
      </c>
      <c r="E932" s="3">
        <v>44637</v>
      </c>
      <c r="F932" s="1">
        <v>83.65</v>
      </c>
      <c r="G932" s="4">
        <f t="shared" si="57"/>
        <v>3.4788867562380865E-3</v>
      </c>
      <c r="I932" s="3">
        <v>44637</v>
      </c>
      <c r="J932" s="1">
        <v>90.911000000000001</v>
      </c>
      <c r="K932" s="4">
        <f t="shared" si="58"/>
        <v>-8.5717089981133254E-3</v>
      </c>
      <c r="M932" s="5">
        <v>44637</v>
      </c>
      <c r="N932" s="2">
        <v>16975.349999999999</v>
      </c>
      <c r="O932" s="4">
        <f t="shared" si="59"/>
        <v>1.8745123927264018E-2</v>
      </c>
    </row>
    <row r="933" spans="1:15" x14ac:dyDescent="0.25">
      <c r="A933" s="3">
        <v>44636</v>
      </c>
      <c r="B933" s="1">
        <v>210.11600000000001</v>
      </c>
      <c r="C933" s="4">
        <f t="shared" si="56"/>
        <v>5.0463740248061217E-3</v>
      </c>
      <c r="E933" s="3">
        <v>44636</v>
      </c>
      <c r="F933" s="1">
        <v>83.36</v>
      </c>
      <c r="G933" s="4">
        <f t="shared" si="57"/>
        <v>-5.0131296252089452E-3</v>
      </c>
      <c r="I933" s="3">
        <v>44636</v>
      </c>
      <c r="J933" s="1">
        <v>91.697000000000003</v>
      </c>
      <c r="K933" s="4">
        <f t="shared" si="58"/>
        <v>1.4066906275919333E-2</v>
      </c>
      <c r="M933" s="5">
        <v>44636</v>
      </c>
      <c r="N933" s="2">
        <v>16663</v>
      </c>
      <c r="O933" s="4">
        <f t="shared" si="59"/>
        <v>-1.2346410768583338E-2</v>
      </c>
    </row>
    <row r="934" spans="1:15" x14ac:dyDescent="0.25">
      <c r="A934" s="3">
        <v>44635</v>
      </c>
      <c r="B934" s="1">
        <v>209.06100000000001</v>
      </c>
      <c r="C934" s="4">
        <f t="shared" si="56"/>
        <v>2.2676280514699609E-3</v>
      </c>
      <c r="E934" s="3">
        <v>44635</v>
      </c>
      <c r="F934" s="1">
        <v>83.78</v>
      </c>
      <c r="G934" s="4">
        <f t="shared" si="57"/>
        <v>-1.1934598400764607E-4</v>
      </c>
      <c r="I934" s="3">
        <v>44635</v>
      </c>
      <c r="J934" s="1">
        <v>90.424999999999997</v>
      </c>
      <c r="K934" s="4">
        <f t="shared" si="58"/>
        <v>1.8425705886990551E-2</v>
      </c>
      <c r="M934" s="5">
        <v>44635</v>
      </c>
      <c r="N934" s="2">
        <v>16871.3</v>
      </c>
      <c r="O934" s="4">
        <f t="shared" si="59"/>
        <v>1.4482470408196946E-2</v>
      </c>
    </row>
    <row r="935" spans="1:15" x14ac:dyDescent="0.25">
      <c r="A935" s="3">
        <v>44634</v>
      </c>
      <c r="B935" s="1">
        <v>208.58799999999999</v>
      </c>
      <c r="C935" s="4">
        <f t="shared" si="56"/>
        <v>-1.2449245384204E-3</v>
      </c>
      <c r="E935" s="3">
        <v>44634</v>
      </c>
      <c r="F935" s="1">
        <v>83.79</v>
      </c>
      <c r="G935" s="4">
        <f t="shared" si="57"/>
        <v>-4.1597337770381548E-3</v>
      </c>
      <c r="I935" s="3">
        <v>44634</v>
      </c>
      <c r="J935" s="1">
        <v>88.789000000000001</v>
      </c>
      <c r="K935" s="4">
        <f t="shared" si="58"/>
        <v>-6.3120432442110852E-3</v>
      </c>
      <c r="M935" s="5">
        <v>44634</v>
      </c>
      <c r="N935" s="2">
        <v>16630.45</v>
      </c>
      <c r="O935" s="4">
        <f t="shared" si="59"/>
        <v>2.1422244183453287E-3</v>
      </c>
    </row>
    <row r="936" spans="1:15" x14ac:dyDescent="0.25">
      <c r="A936" s="3">
        <v>44631</v>
      </c>
      <c r="B936" s="1">
        <v>208.84800000000001</v>
      </c>
      <c r="C936" s="4">
        <f t="shared" si="56"/>
        <v>7.6669477880875192E-4</v>
      </c>
      <c r="E936" s="3">
        <v>44631</v>
      </c>
      <c r="F936" s="1">
        <v>84.14</v>
      </c>
      <c r="G936" s="4">
        <f t="shared" si="57"/>
        <v>6.8206294124686373E-3</v>
      </c>
      <c r="I936" s="3">
        <v>44631</v>
      </c>
      <c r="J936" s="1">
        <v>89.352999999999994</v>
      </c>
      <c r="K936" s="4">
        <f t="shared" si="58"/>
        <v>9.1594949289601768E-3</v>
      </c>
      <c r="M936" s="5">
        <v>44631</v>
      </c>
      <c r="N936" s="2">
        <v>16594.900000000001</v>
      </c>
      <c r="O936" s="4">
        <f t="shared" si="59"/>
        <v>1.5267339029142901E-2</v>
      </c>
    </row>
    <row r="937" spans="1:15" x14ac:dyDescent="0.25">
      <c r="A937" s="3">
        <v>44630</v>
      </c>
      <c r="B937" s="1">
        <v>208.68799999999999</v>
      </c>
      <c r="C937" s="4">
        <f t="shared" si="56"/>
        <v>-4.412894238429943E-3</v>
      </c>
      <c r="E937" s="3">
        <v>44630</v>
      </c>
      <c r="F937" s="1">
        <v>83.57</v>
      </c>
      <c r="G937" s="4">
        <f t="shared" si="57"/>
        <v>-7.3642950469177126E-3</v>
      </c>
      <c r="I937" s="3">
        <v>44630</v>
      </c>
      <c r="J937" s="1">
        <v>88.542000000000002</v>
      </c>
      <c r="K937" s="4">
        <f t="shared" si="58"/>
        <v>4.5609257998637798E-3</v>
      </c>
      <c r="M937" s="5">
        <v>44630</v>
      </c>
      <c r="N937" s="2">
        <v>16345.35</v>
      </c>
      <c r="O937" s="4">
        <f t="shared" si="59"/>
        <v>2.0726326931423289E-2</v>
      </c>
    </row>
    <row r="938" spans="1:15" x14ac:dyDescent="0.25">
      <c r="A938" s="3">
        <v>44629</v>
      </c>
      <c r="B938" s="1">
        <v>209.613</v>
      </c>
      <c r="C938" s="4">
        <f t="shared" si="56"/>
        <v>4.9429001543757067E-3</v>
      </c>
      <c r="E938" s="3">
        <v>44629</v>
      </c>
      <c r="F938" s="1">
        <v>84.19</v>
      </c>
      <c r="G938" s="4">
        <f t="shared" si="57"/>
        <v>1.2751112715024604E-2</v>
      </c>
      <c r="I938" s="3">
        <v>44629</v>
      </c>
      <c r="J938" s="1">
        <v>88.14</v>
      </c>
      <c r="K938" s="4">
        <f t="shared" si="58"/>
        <v>1.4724675055548531E-2</v>
      </c>
      <c r="M938" s="5">
        <v>44629</v>
      </c>
      <c r="N938" s="2">
        <v>16013.45</v>
      </c>
      <c r="O938" s="4">
        <f t="shared" si="59"/>
        <v>9.4747890551372116E-3</v>
      </c>
    </row>
    <row r="939" spans="1:15" x14ac:dyDescent="0.25">
      <c r="A939" s="3">
        <v>44628</v>
      </c>
      <c r="B939" s="1">
        <v>208.58199999999999</v>
      </c>
      <c r="C939" s="4">
        <f t="shared" si="56"/>
        <v>-2.7157542433660087E-3</v>
      </c>
      <c r="E939" s="3">
        <v>44628</v>
      </c>
      <c r="F939" s="1">
        <v>83.13</v>
      </c>
      <c r="G939" s="4">
        <f t="shared" si="57"/>
        <v>1.5018315018314965E-2</v>
      </c>
      <c r="I939" s="3">
        <v>44628</v>
      </c>
      <c r="J939" s="1">
        <v>86.861000000000004</v>
      </c>
      <c r="K939" s="4">
        <f t="shared" si="58"/>
        <v>1.9172328018116414E-2</v>
      </c>
      <c r="M939" s="5">
        <v>44628</v>
      </c>
      <c r="N939" s="2">
        <v>15863.15</v>
      </c>
      <c r="O939" s="4">
        <f t="shared" si="59"/>
        <v>-2.3526732264925077E-2</v>
      </c>
    </row>
    <row r="940" spans="1:15" x14ac:dyDescent="0.25">
      <c r="A940" s="3">
        <v>44627</v>
      </c>
      <c r="B940" s="1">
        <v>209.15</v>
      </c>
      <c r="C940" s="4">
        <f t="shared" si="56"/>
        <v>1.0269340752762979E-2</v>
      </c>
      <c r="E940" s="3">
        <v>44627</v>
      </c>
      <c r="F940" s="1">
        <v>81.900000000000006</v>
      </c>
      <c r="G940" s="4">
        <f t="shared" si="57"/>
        <v>-7.7538163314756492E-3</v>
      </c>
      <c r="I940" s="3">
        <v>44627</v>
      </c>
      <c r="J940" s="1">
        <v>85.227000000000004</v>
      </c>
      <c r="K940" s="4">
        <f t="shared" si="58"/>
        <v>1.1920734241240627E-2</v>
      </c>
      <c r="M940" s="5">
        <v>44627</v>
      </c>
      <c r="N940" s="2">
        <v>16245.35</v>
      </c>
      <c r="O940" s="4">
        <f t="shared" si="59"/>
        <v>-1.5316961701534404E-2</v>
      </c>
    </row>
    <row r="941" spans="1:15" x14ac:dyDescent="0.25">
      <c r="A941" s="3">
        <v>44624</v>
      </c>
      <c r="B941" s="1">
        <v>207.024</v>
      </c>
      <c r="C941" s="4">
        <f t="shared" si="56"/>
        <v>1.542083578575637E-2</v>
      </c>
      <c r="E941" s="3">
        <v>44624</v>
      </c>
      <c r="F941" s="1">
        <v>82.54</v>
      </c>
      <c r="G941" s="4">
        <f t="shared" si="57"/>
        <v>1.238807800809516E-2</v>
      </c>
      <c r="I941" s="3">
        <v>44624</v>
      </c>
      <c r="J941" s="1">
        <v>84.222999999999999</v>
      </c>
      <c r="K941" s="4">
        <f t="shared" si="58"/>
        <v>-2.5873236178579617E-2</v>
      </c>
      <c r="M941" s="5">
        <v>44624</v>
      </c>
      <c r="N941" s="2">
        <v>16498.05</v>
      </c>
      <c r="O941" s="4">
        <f t="shared" si="59"/>
        <v>-6.4976710155095763E-3</v>
      </c>
    </row>
    <row r="942" spans="1:15" x14ac:dyDescent="0.25">
      <c r="A942" s="3">
        <v>44623</v>
      </c>
      <c r="B942" s="1">
        <v>203.88</v>
      </c>
      <c r="C942" s="4">
        <f t="shared" si="56"/>
        <v>-1.1529249774554273E-2</v>
      </c>
      <c r="E942" s="3">
        <v>44623</v>
      </c>
      <c r="F942" s="1">
        <v>81.53</v>
      </c>
      <c r="G942" s="4">
        <f t="shared" si="57"/>
        <v>3.6932167918255487E-3</v>
      </c>
      <c r="I942" s="3">
        <v>44623</v>
      </c>
      <c r="J942" s="1">
        <v>86.46</v>
      </c>
      <c r="K942" s="4">
        <f t="shared" si="58"/>
        <v>-1.4835578040609865E-2</v>
      </c>
      <c r="M942" s="5">
        <v>44623</v>
      </c>
      <c r="N942" s="2">
        <v>16605.95</v>
      </c>
      <c r="O942" s="4">
        <f t="shared" si="59"/>
        <v>-1.1191563603451304E-2</v>
      </c>
    </row>
    <row r="943" spans="1:15" x14ac:dyDescent="0.25">
      <c r="A943" s="3">
        <v>44622</v>
      </c>
      <c r="B943" s="1">
        <v>206.25800000000001</v>
      </c>
      <c r="C943" s="4">
        <f t="shared" si="56"/>
        <v>6.34767292651639E-3</v>
      </c>
      <c r="E943" s="3">
        <v>44622</v>
      </c>
      <c r="F943" s="1">
        <v>81.23</v>
      </c>
      <c r="G943" s="4">
        <f t="shared" si="57"/>
        <v>1.1581569115815871E-2</v>
      </c>
      <c r="I943" s="3">
        <v>44622</v>
      </c>
      <c r="J943" s="1">
        <v>87.762</v>
      </c>
      <c r="K943" s="4">
        <f t="shared" si="58"/>
        <v>-1.0686506594521417E-2</v>
      </c>
      <c r="M943" s="5">
        <v>44622</v>
      </c>
      <c r="N943" s="2">
        <v>16793.900000000001</v>
      </c>
      <c r="O943" s="4">
        <f t="shared" si="59"/>
        <v>8.1340344811027254E-3</v>
      </c>
    </row>
    <row r="944" spans="1:15" x14ac:dyDescent="0.25">
      <c r="A944" s="3">
        <v>44620</v>
      </c>
      <c r="B944" s="1">
        <v>204.95699999999999</v>
      </c>
      <c r="C944" s="4">
        <f t="shared" si="56"/>
        <v>4.4942168202313226E-3</v>
      </c>
      <c r="E944" s="3">
        <v>44620</v>
      </c>
      <c r="F944" s="1">
        <v>80.3</v>
      </c>
      <c r="G944" s="4">
        <f t="shared" si="57"/>
        <v>1.9294237116019186E-2</v>
      </c>
      <c r="I944" s="3">
        <v>44620</v>
      </c>
      <c r="J944" s="1">
        <v>88.71</v>
      </c>
      <c r="K944" s="4">
        <f t="shared" si="58"/>
        <v>-1.1984050965629489E-2</v>
      </c>
      <c r="M944" s="5">
        <v>44620</v>
      </c>
      <c r="N944" s="2">
        <v>16658.400000000001</v>
      </c>
      <c r="O944" s="4">
        <f t="shared" si="59"/>
        <v>2.5261648392566505E-2</v>
      </c>
    </row>
    <row r="945" spans="1:15" x14ac:dyDescent="0.25">
      <c r="A945" s="3">
        <v>44617</v>
      </c>
      <c r="B945" s="1">
        <v>204.04</v>
      </c>
      <c r="C945" s="4">
        <f t="shared" si="56"/>
        <v>1.0584290476119751E-2</v>
      </c>
      <c r="E945" s="3">
        <v>44617</v>
      </c>
      <c r="F945" s="1">
        <v>78.78</v>
      </c>
      <c r="G945" s="4">
        <f t="shared" si="57"/>
        <v>1.4421838784445029E-2</v>
      </c>
      <c r="I945" s="3">
        <v>44617</v>
      </c>
      <c r="J945" s="1">
        <v>89.786000000000001</v>
      </c>
      <c r="K945" s="4">
        <f t="shared" si="58"/>
        <v>6.0619642557004916E-3</v>
      </c>
      <c r="M945" s="5">
        <v>44617</v>
      </c>
      <c r="N945" s="2">
        <v>16247.95</v>
      </c>
      <c r="O945" s="4">
        <f t="shared" si="59"/>
        <v>-4.7781049917219764E-2</v>
      </c>
    </row>
    <row r="946" spans="1:15" x14ac:dyDescent="0.25">
      <c r="A946" s="3">
        <v>44616</v>
      </c>
      <c r="B946" s="1">
        <v>201.90299999999999</v>
      </c>
      <c r="C946" s="4">
        <f t="shared" si="56"/>
        <v>1.3839023434950137E-2</v>
      </c>
      <c r="E946" s="3">
        <v>44616</v>
      </c>
      <c r="F946" s="1">
        <v>77.66</v>
      </c>
      <c r="G946" s="4">
        <f t="shared" si="57"/>
        <v>-2.5718228578597402E-2</v>
      </c>
      <c r="I946" s="3">
        <v>44616</v>
      </c>
      <c r="J946" s="1">
        <v>89.245000000000005</v>
      </c>
      <c r="K946" s="4">
        <f t="shared" si="58"/>
        <v>2.5074085134731749E-2</v>
      </c>
      <c r="M946" s="5">
        <v>44616</v>
      </c>
      <c r="N946" s="2">
        <v>17063.25</v>
      </c>
      <c r="O946" s="4">
        <f t="shared" si="59"/>
        <v>-1.693755046161427E-3</v>
      </c>
    </row>
    <row r="947" spans="1:15" x14ac:dyDescent="0.25">
      <c r="A947" s="3">
        <v>44615</v>
      </c>
      <c r="B947" s="1">
        <v>199.14699999999999</v>
      </c>
      <c r="C947" s="4">
        <f t="shared" si="56"/>
        <v>8.2728731779679876E-3</v>
      </c>
      <c r="E947" s="3">
        <v>44615</v>
      </c>
      <c r="F947" s="1">
        <v>79.709999999999994</v>
      </c>
      <c r="G947" s="4">
        <f t="shared" si="57"/>
        <v>-1.3856241494494714E-2</v>
      </c>
      <c r="I947" s="3">
        <v>44615</v>
      </c>
      <c r="J947" s="1">
        <v>87.061999999999998</v>
      </c>
      <c r="K947" s="4">
        <f t="shared" si="58"/>
        <v>-4.7940861273319757E-2</v>
      </c>
      <c r="M947" s="5">
        <v>44615</v>
      </c>
      <c r="N947" s="2">
        <v>17092.2</v>
      </c>
      <c r="O947" s="4">
        <f t="shared" si="59"/>
        <v>-6.651498112648313E-3</v>
      </c>
    </row>
    <row r="948" spans="1:15" x14ac:dyDescent="0.25">
      <c r="A948" s="3">
        <v>44614</v>
      </c>
      <c r="B948" s="1">
        <v>197.51300000000001</v>
      </c>
      <c r="C948" s="4">
        <f t="shared" si="56"/>
        <v>-1.1109887248913486E-2</v>
      </c>
      <c r="E948" s="3">
        <v>44614</v>
      </c>
      <c r="F948" s="1">
        <v>80.83</v>
      </c>
      <c r="G948" s="4">
        <f t="shared" si="57"/>
        <v>-7.9774177712322869E-3</v>
      </c>
      <c r="I948" s="3">
        <v>44614</v>
      </c>
      <c r="J948" s="1">
        <v>91.445999999999998</v>
      </c>
      <c r="K948" s="4">
        <f t="shared" si="58"/>
        <v>2.6251886854367079E-4</v>
      </c>
      <c r="M948" s="5">
        <v>44614</v>
      </c>
      <c r="N948" s="2">
        <v>17206.650000000001</v>
      </c>
      <c r="O948" s="4">
        <f t="shared" si="59"/>
        <v>-4.0315345299628547E-3</v>
      </c>
    </row>
    <row r="949" spans="1:15" x14ac:dyDescent="0.25">
      <c r="A949" s="3">
        <v>44613</v>
      </c>
      <c r="B949" s="1">
        <v>199.732</v>
      </c>
      <c r="C949" s="4">
        <f t="shared" si="56"/>
        <v>-1.2689138354613716E-2</v>
      </c>
      <c r="E949" s="3">
        <v>44613</v>
      </c>
      <c r="F949" s="1">
        <v>81.48</v>
      </c>
      <c r="G949" s="4">
        <f t="shared" si="57"/>
        <v>-1.0444498421180448E-2</v>
      </c>
      <c r="I949" s="3">
        <v>44613</v>
      </c>
      <c r="J949" s="1">
        <v>91.421999999999997</v>
      </c>
      <c r="K949" s="4">
        <f t="shared" si="58"/>
        <v>-6.5201799569668539E-3</v>
      </c>
      <c r="M949" s="5">
        <v>44613</v>
      </c>
      <c r="N949" s="2">
        <v>17276.3</v>
      </c>
      <c r="O949" s="4">
        <f t="shared" si="59"/>
        <v>-1.6354033031679149E-3</v>
      </c>
    </row>
    <row r="950" spans="1:15" x14ac:dyDescent="0.25">
      <c r="A950" s="3">
        <v>44610</v>
      </c>
      <c r="B950" s="1">
        <v>202.29900000000001</v>
      </c>
      <c r="C950" s="4">
        <f t="shared" si="56"/>
        <v>-1.6581538233769733E-3</v>
      </c>
      <c r="E950" s="3">
        <v>44610</v>
      </c>
      <c r="F950" s="1">
        <v>82.34</v>
      </c>
      <c r="G950" s="4">
        <f t="shared" si="57"/>
        <v>6.8476400097823298E-3</v>
      </c>
      <c r="I950" s="3">
        <v>44610</v>
      </c>
      <c r="J950" s="1">
        <v>92.022000000000006</v>
      </c>
      <c r="K950" s="4">
        <f t="shared" si="58"/>
        <v>-4.4141512495943225E-3</v>
      </c>
      <c r="M950" s="5">
        <v>44610</v>
      </c>
      <c r="N950" s="2">
        <v>17304.599999999999</v>
      </c>
      <c r="O950" s="4">
        <f t="shared" si="59"/>
        <v>-1.0160372239093052E-3</v>
      </c>
    </row>
    <row r="951" spans="1:15" x14ac:dyDescent="0.25">
      <c r="A951" s="3">
        <v>44609</v>
      </c>
      <c r="B951" s="1">
        <v>202.63499999999999</v>
      </c>
      <c r="C951" s="4">
        <f t="shared" si="56"/>
        <v>-5.2087424397141424E-3</v>
      </c>
      <c r="E951" s="3">
        <v>44609</v>
      </c>
      <c r="F951" s="1">
        <v>81.78</v>
      </c>
      <c r="G951" s="4">
        <f t="shared" si="57"/>
        <v>2.6741996233521581E-2</v>
      </c>
      <c r="I951" s="3">
        <v>44609</v>
      </c>
      <c r="J951" s="1">
        <v>92.43</v>
      </c>
      <c r="K951" s="4">
        <f t="shared" si="58"/>
        <v>-3.8475217433476816E-3</v>
      </c>
      <c r="M951" s="5">
        <v>44609</v>
      </c>
      <c r="N951" s="2">
        <v>17322.2</v>
      </c>
      <c r="O951" s="4">
        <f t="shared" si="59"/>
        <v>-1.7432696823791449E-3</v>
      </c>
    </row>
    <row r="952" spans="1:15" x14ac:dyDescent="0.25">
      <c r="A952" s="3">
        <v>44608</v>
      </c>
      <c r="B952" s="1">
        <v>203.696</v>
      </c>
      <c r="C952" s="4">
        <f t="shared" si="56"/>
        <v>1.36172137312629E-3</v>
      </c>
      <c r="E952" s="3">
        <v>44608</v>
      </c>
      <c r="F952" s="1">
        <v>79.650000000000006</v>
      </c>
      <c r="G952" s="4">
        <f t="shared" si="57"/>
        <v>-4.804589458587305E-2</v>
      </c>
      <c r="I952" s="3">
        <v>44608</v>
      </c>
      <c r="J952" s="1">
        <v>92.787000000000006</v>
      </c>
      <c r="K952" s="4">
        <f t="shared" si="58"/>
        <v>-5.2638349878856294E-3</v>
      </c>
      <c r="M952" s="5">
        <v>44608</v>
      </c>
      <c r="N952" s="2">
        <v>17352.45</v>
      </c>
      <c r="O952" s="4">
        <f t="shared" si="59"/>
        <v>3.0259220557152133E-2</v>
      </c>
    </row>
    <row r="953" spans="1:15" x14ac:dyDescent="0.25">
      <c r="A953" s="3">
        <v>44607</v>
      </c>
      <c r="B953" s="1">
        <v>203.41900000000001</v>
      </c>
      <c r="C953" s="4">
        <f t="shared" si="56"/>
        <v>2.4987403003124076E-2</v>
      </c>
      <c r="E953" s="3">
        <v>44607</v>
      </c>
      <c r="F953" s="1">
        <v>83.67</v>
      </c>
      <c r="G953" s="4">
        <f t="shared" si="57"/>
        <v>-1.4321518080917528E-3</v>
      </c>
      <c r="I953" s="3">
        <v>44607</v>
      </c>
      <c r="J953" s="1">
        <v>93.278000000000006</v>
      </c>
      <c r="K953" s="4">
        <f t="shared" si="58"/>
        <v>-2.8329217579081689E-3</v>
      </c>
      <c r="M953" s="5">
        <v>44607</v>
      </c>
      <c r="N953" s="2">
        <v>16842.8</v>
      </c>
      <c r="O953" s="4">
        <f t="shared" si="59"/>
        <v>-3.0616267859969293E-2</v>
      </c>
    </row>
    <row r="954" spans="1:15" x14ac:dyDescent="0.25">
      <c r="A954" s="3">
        <v>44606</v>
      </c>
      <c r="B954" s="1">
        <v>198.46</v>
      </c>
      <c r="C954" s="4">
        <f t="shared" si="56"/>
        <v>-3.9376557999951545E-2</v>
      </c>
      <c r="E954" s="3">
        <v>44606</v>
      </c>
      <c r="F954" s="1">
        <v>83.79</v>
      </c>
      <c r="G954" s="4">
        <f t="shared" si="57"/>
        <v>-8.1676136363636465E-3</v>
      </c>
      <c r="I954" s="3">
        <v>44606</v>
      </c>
      <c r="J954" s="1">
        <v>93.543000000000006</v>
      </c>
      <c r="K954" s="4">
        <f t="shared" si="58"/>
        <v>2.8645890606787017E-2</v>
      </c>
      <c r="M954" s="5">
        <v>44606</v>
      </c>
      <c r="N954" s="2">
        <v>17374.75</v>
      </c>
      <c r="O954" s="4">
        <f t="shared" si="59"/>
        <v>-1.3126318808804993E-2</v>
      </c>
    </row>
    <row r="955" spans="1:15" x14ac:dyDescent="0.25">
      <c r="A955" s="3">
        <v>44603</v>
      </c>
      <c r="B955" s="1">
        <v>206.595</v>
      </c>
      <c r="C955" s="4">
        <f t="shared" si="56"/>
        <v>1.9933651495751548E-3</v>
      </c>
      <c r="E955" s="3">
        <v>44603</v>
      </c>
      <c r="F955" s="1">
        <v>84.48</v>
      </c>
      <c r="G955" s="4">
        <f t="shared" si="57"/>
        <v>-5.4155874735106746E-3</v>
      </c>
      <c r="I955" s="3">
        <v>44603</v>
      </c>
      <c r="J955" s="1">
        <v>90.938000000000002</v>
      </c>
      <c r="K955" s="4">
        <f t="shared" si="58"/>
        <v>-3.2903692360047532E-2</v>
      </c>
      <c r="M955" s="5">
        <v>44603</v>
      </c>
      <c r="N955" s="2">
        <v>17605.849999999999</v>
      </c>
      <c r="O955" s="4">
        <f t="shared" si="59"/>
        <v>8.1339685520904759E-3</v>
      </c>
    </row>
    <row r="956" spans="1:15" x14ac:dyDescent="0.25">
      <c r="A956" s="3">
        <v>44602</v>
      </c>
      <c r="B956" s="1">
        <v>206.184</v>
      </c>
      <c r="C956" s="4">
        <f t="shared" si="56"/>
        <v>-9.7733636219556885E-3</v>
      </c>
      <c r="E956" s="3">
        <v>44602</v>
      </c>
      <c r="F956" s="1">
        <v>84.94</v>
      </c>
      <c r="G956" s="4">
        <f t="shared" si="57"/>
        <v>-5.2699379318421613E-3</v>
      </c>
      <c r="I956" s="3">
        <v>44602</v>
      </c>
      <c r="J956" s="1">
        <v>94.031999999999996</v>
      </c>
      <c r="K956" s="4">
        <f t="shared" si="58"/>
        <v>-1.4866266461325717E-2</v>
      </c>
      <c r="M956" s="5">
        <v>44602</v>
      </c>
      <c r="N956" s="2">
        <v>17463.8</v>
      </c>
      <c r="O956" s="4">
        <f t="shared" si="59"/>
        <v>1.1412107084425305E-2</v>
      </c>
    </row>
    <row r="957" spans="1:15" x14ac:dyDescent="0.25">
      <c r="A957" s="3">
        <v>44601</v>
      </c>
      <c r="B957" s="1">
        <v>208.21899999999999</v>
      </c>
      <c r="C957" s="4">
        <f t="shared" si="56"/>
        <v>-4.6131635306715379E-3</v>
      </c>
      <c r="E957" s="3">
        <v>44601</v>
      </c>
      <c r="F957" s="1">
        <v>85.39</v>
      </c>
      <c r="G957" s="4">
        <f t="shared" si="57"/>
        <v>-3.9659395777441597E-3</v>
      </c>
      <c r="I957" s="3">
        <v>44601</v>
      </c>
      <c r="J957" s="1">
        <v>95.450999999999993</v>
      </c>
      <c r="K957" s="4">
        <f t="shared" si="58"/>
        <v>5.7849149649111808E-3</v>
      </c>
      <c r="M957" s="5">
        <v>44601</v>
      </c>
      <c r="N957" s="2">
        <v>17266.75</v>
      </c>
      <c r="O957" s="4">
        <f t="shared" si="59"/>
        <v>3.0876748617372218E-3</v>
      </c>
    </row>
    <row r="958" spans="1:15" x14ac:dyDescent="0.25">
      <c r="A958" s="3">
        <v>44600</v>
      </c>
      <c r="B958" s="1">
        <v>209.184</v>
      </c>
      <c r="C958" s="4">
        <f t="shared" si="56"/>
        <v>-4.8618973768588258E-3</v>
      </c>
      <c r="E958" s="3">
        <v>44600</v>
      </c>
      <c r="F958" s="1">
        <v>85.73</v>
      </c>
      <c r="G958" s="4">
        <f t="shared" si="57"/>
        <v>-3.718768158047614E-3</v>
      </c>
      <c r="I958" s="3">
        <v>44600</v>
      </c>
      <c r="J958" s="1">
        <v>94.902000000000001</v>
      </c>
      <c r="K958" s="4">
        <f t="shared" si="58"/>
        <v>1.3109293934282729E-2</v>
      </c>
      <c r="M958" s="5">
        <v>44600</v>
      </c>
      <c r="N958" s="2">
        <v>17213.599999999999</v>
      </c>
      <c r="O958" s="4">
        <f t="shared" si="59"/>
        <v>-1.7281046796412514E-2</v>
      </c>
    </row>
    <row r="959" spans="1:15" x14ac:dyDescent="0.25">
      <c r="A959" s="3">
        <v>44599</v>
      </c>
      <c r="B959" s="1">
        <v>210.20599999999999</v>
      </c>
      <c r="C959" s="4">
        <f t="shared" si="56"/>
        <v>-3.2103109307057842E-3</v>
      </c>
      <c r="E959" s="3">
        <v>44599</v>
      </c>
      <c r="F959" s="1">
        <v>86.05</v>
      </c>
      <c r="G959" s="4">
        <f t="shared" si="57"/>
        <v>2.4404761904761818E-2</v>
      </c>
      <c r="I959" s="3">
        <v>44599</v>
      </c>
      <c r="J959" s="1">
        <v>93.674000000000007</v>
      </c>
      <c r="K959" s="4">
        <f t="shared" si="58"/>
        <v>2.8831676401797068E-4</v>
      </c>
      <c r="M959" s="5">
        <v>44599</v>
      </c>
      <c r="N959" s="2">
        <v>17516.3</v>
      </c>
      <c r="O959" s="4">
        <f t="shared" si="59"/>
        <v>-2.4999715265202616E-3</v>
      </c>
    </row>
    <row r="960" spans="1:15" x14ac:dyDescent="0.25">
      <c r="A960" s="3">
        <v>44596</v>
      </c>
      <c r="B960" s="1">
        <v>210.88300000000001</v>
      </c>
      <c r="C960" s="4">
        <f t="shared" si="56"/>
        <v>6.6906454337534171E-4</v>
      </c>
      <c r="E960" s="3">
        <v>44596</v>
      </c>
      <c r="F960" s="1">
        <v>84</v>
      </c>
      <c r="G960" s="4">
        <f t="shared" si="57"/>
        <v>-3.2258064516129004E-2</v>
      </c>
      <c r="I960" s="3">
        <v>44596</v>
      </c>
      <c r="J960" s="1">
        <v>93.647000000000006</v>
      </c>
      <c r="K960" s="4">
        <f t="shared" si="58"/>
        <v>-1.0805957536706434E-2</v>
      </c>
      <c r="M960" s="5">
        <v>44596</v>
      </c>
      <c r="N960" s="2">
        <v>17560.2</v>
      </c>
      <c r="O960" s="4">
        <f t="shared" si="59"/>
        <v>-1.2362204724409409E-2</v>
      </c>
    </row>
    <row r="961" spans="1:15" x14ac:dyDescent="0.25">
      <c r="A961" s="3">
        <v>44595</v>
      </c>
      <c r="B961" s="1">
        <v>210.74199999999999</v>
      </c>
      <c r="C961" s="4">
        <f t="shared" si="56"/>
        <v>2.0270630098520925E-2</v>
      </c>
      <c r="E961" s="3">
        <v>44595</v>
      </c>
      <c r="F961" s="1">
        <v>86.8</v>
      </c>
      <c r="G961" s="4">
        <f t="shared" si="57"/>
        <v>-1.3972509371805164E-2</v>
      </c>
      <c r="I961" s="3">
        <v>44595</v>
      </c>
      <c r="J961" s="1">
        <v>94.67</v>
      </c>
      <c r="K961" s="4">
        <f t="shared" si="58"/>
        <v>-3.9978958442924428E-3</v>
      </c>
      <c r="M961" s="5">
        <v>44595</v>
      </c>
      <c r="N961" s="2">
        <v>17780</v>
      </c>
      <c r="O961" s="4">
        <f t="shared" si="59"/>
        <v>1.1557816104706076E-2</v>
      </c>
    </row>
    <row r="962" spans="1:15" x14ac:dyDescent="0.25">
      <c r="A962" s="3">
        <v>44594</v>
      </c>
      <c r="B962" s="1">
        <v>206.55500000000001</v>
      </c>
      <c r="C962" s="4">
        <f t="shared" si="56"/>
        <v>-3.175830872357388E-2</v>
      </c>
      <c r="E962" s="3">
        <v>44594</v>
      </c>
      <c r="F962" s="1">
        <v>88.03</v>
      </c>
      <c r="G962" s="4">
        <f t="shared" si="57"/>
        <v>6.1721339581666257E-3</v>
      </c>
      <c r="I962" s="3">
        <v>44594</v>
      </c>
      <c r="J962" s="1">
        <v>95.05</v>
      </c>
      <c r="K962" s="4">
        <f t="shared" si="58"/>
        <v>-9.9267731216733379E-3</v>
      </c>
      <c r="M962" s="5">
        <v>44594</v>
      </c>
      <c r="N962" s="2">
        <v>17576.849999999999</v>
      </c>
      <c r="O962" s="4">
        <f t="shared" si="59"/>
        <v>1.3667938303964622E-2</v>
      </c>
    </row>
    <row r="963" spans="1:15" x14ac:dyDescent="0.25">
      <c r="A963" s="3">
        <v>44593</v>
      </c>
      <c r="B963" s="1">
        <v>213.33</v>
      </c>
      <c r="C963" s="4">
        <f t="shared" ref="C963:C1026" si="60">(B963/B964)-1</f>
        <v>-1.4113797692990149E-2</v>
      </c>
      <c r="E963" s="3">
        <v>44593</v>
      </c>
      <c r="F963" s="1">
        <v>87.49</v>
      </c>
      <c r="G963" s="4">
        <f t="shared" ref="G963:G1026" si="61">(F963/F964)-1</f>
        <v>1.0627238073235512E-2</v>
      </c>
      <c r="I963" s="3">
        <v>44593</v>
      </c>
      <c r="J963" s="1">
        <v>96.003</v>
      </c>
      <c r="K963" s="4">
        <f t="shared" ref="K963:K1026" si="62">(J963/J964)-1</f>
        <v>7.8420256991684756E-3</v>
      </c>
      <c r="M963" s="5">
        <v>44593</v>
      </c>
      <c r="N963" s="2">
        <v>17339.849999999999</v>
      </c>
      <c r="O963" s="4">
        <f t="shared" ref="O963:O1026" si="63">(N963/N964)-1</f>
        <v>1.3910694394498657E-2</v>
      </c>
    </row>
    <row r="964" spans="1:15" x14ac:dyDescent="0.25">
      <c r="A964" s="3">
        <v>44592</v>
      </c>
      <c r="B964" s="1">
        <v>216.38399999999999</v>
      </c>
      <c r="C964" s="4">
        <f t="shared" si="60"/>
        <v>3.1943253204755884E-3</v>
      </c>
      <c r="E964" s="3">
        <v>44592</v>
      </c>
      <c r="F964" s="1">
        <v>86.57</v>
      </c>
      <c r="G964" s="4">
        <f t="shared" si="61"/>
        <v>-2.7646584494874782E-3</v>
      </c>
      <c r="I964" s="3">
        <v>44592</v>
      </c>
      <c r="J964" s="1">
        <v>95.256</v>
      </c>
      <c r="K964" s="4">
        <f t="shared" si="62"/>
        <v>1.3275465917794271E-2</v>
      </c>
      <c r="M964" s="5">
        <v>44592</v>
      </c>
      <c r="N964" s="2">
        <v>17101.95</v>
      </c>
      <c r="O964" s="4">
        <f t="shared" si="63"/>
        <v>-4.7924769800389289E-4</v>
      </c>
    </row>
    <row r="965" spans="1:15" x14ac:dyDescent="0.25">
      <c r="A965" s="3">
        <v>44589</v>
      </c>
      <c r="B965" s="1">
        <v>215.69499999999999</v>
      </c>
      <c r="C965" s="4">
        <f t="shared" si="60"/>
        <v>8.1985220224267685E-3</v>
      </c>
      <c r="E965" s="3">
        <v>44589</v>
      </c>
      <c r="F965" s="1">
        <v>86.81</v>
      </c>
      <c r="G965" s="4">
        <f t="shared" si="61"/>
        <v>-1.1500797084946335E-2</v>
      </c>
      <c r="I965" s="3">
        <v>44589</v>
      </c>
      <c r="J965" s="1">
        <v>94.007999999999996</v>
      </c>
      <c r="K965" s="4">
        <f t="shared" si="62"/>
        <v>1.4219441147912404E-2</v>
      </c>
      <c r="M965" s="5">
        <v>44589</v>
      </c>
      <c r="N965" s="2">
        <v>17110.150000000001</v>
      </c>
      <c r="O965" s="4">
        <f t="shared" si="63"/>
        <v>-9.7118003003827669E-3</v>
      </c>
    </row>
    <row r="966" spans="1:15" x14ac:dyDescent="0.25">
      <c r="A966" s="3">
        <v>44588</v>
      </c>
      <c r="B966" s="1">
        <v>213.941</v>
      </c>
      <c r="C966" s="4">
        <f t="shared" si="60"/>
        <v>-6.2844296636228592E-3</v>
      </c>
      <c r="E966" s="3">
        <v>44588</v>
      </c>
      <c r="F966" s="1">
        <v>87.82</v>
      </c>
      <c r="G966" s="4">
        <f t="shared" si="61"/>
        <v>-5.2106932487540059E-3</v>
      </c>
      <c r="I966" s="3">
        <v>44588</v>
      </c>
      <c r="J966" s="1">
        <v>92.69</v>
      </c>
      <c r="K966" s="4">
        <f t="shared" si="62"/>
        <v>3.9425513939734813E-3</v>
      </c>
      <c r="M966" s="5">
        <v>44588</v>
      </c>
      <c r="N966" s="2">
        <v>17277.95</v>
      </c>
      <c r="O966" s="4">
        <f t="shared" si="63"/>
        <v>7.5135138287141245E-3</v>
      </c>
    </row>
    <row r="967" spans="1:15" x14ac:dyDescent="0.25">
      <c r="A967" s="3">
        <v>44586</v>
      </c>
      <c r="B967" s="1">
        <v>215.29400000000001</v>
      </c>
      <c r="C967" s="4">
        <f t="shared" si="60"/>
        <v>-1.5168565024472835E-2</v>
      </c>
      <c r="E967" s="3">
        <v>44586</v>
      </c>
      <c r="F967" s="1">
        <v>88.28</v>
      </c>
      <c r="G967" s="4">
        <f t="shared" si="61"/>
        <v>-8.5354896675652325E-3</v>
      </c>
      <c r="I967" s="3">
        <v>44586</v>
      </c>
      <c r="J967" s="1">
        <v>92.325999999999993</v>
      </c>
      <c r="K967" s="4">
        <f t="shared" si="62"/>
        <v>-8.121871038439199E-3</v>
      </c>
      <c r="M967" s="5">
        <v>44586</v>
      </c>
      <c r="N967" s="2">
        <v>17149.099999999999</v>
      </c>
      <c r="O967" s="4">
        <f t="shared" si="63"/>
        <v>-2.6567861430481288E-2</v>
      </c>
    </row>
    <row r="968" spans="1:15" x14ac:dyDescent="0.25">
      <c r="A968" s="3">
        <v>44585</v>
      </c>
      <c r="B968" s="1">
        <v>218.61</v>
      </c>
      <c r="C968" s="4">
        <f t="shared" si="60"/>
        <v>-3.3281663171331743E-3</v>
      </c>
      <c r="E968" s="3">
        <v>44585</v>
      </c>
      <c r="F968" s="1">
        <v>89.04</v>
      </c>
      <c r="G968" s="4">
        <f t="shared" si="61"/>
        <v>9.1805508330500274E-3</v>
      </c>
      <c r="I968" s="3">
        <v>44585</v>
      </c>
      <c r="J968" s="1">
        <v>93.081999999999994</v>
      </c>
      <c r="K968" s="4">
        <f t="shared" si="62"/>
        <v>1.1727878438746453E-2</v>
      </c>
      <c r="M968" s="5">
        <v>44585</v>
      </c>
      <c r="N968" s="2">
        <v>17617.150000000001</v>
      </c>
      <c r="O968" s="4">
        <f t="shared" si="63"/>
        <v>-7.875767303035297E-3</v>
      </c>
    </row>
    <row r="969" spans="1:15" x14ac:dyDescent="0.25">
      <c r="A969" s="3">
        <v>44582</v>
      </c>
      <c r="B969" s="1">
        <v>219.34</v>
      </c>
      <c r="C969" s="4">
        <f t="shared" si="60"/>
        <v>-2.6599977264977204E-3</v>
      </c>
      <c r="E969" s="3">
        <v>44582</v>
      </c>
      <c r="F969" s="1">
        <v>88.23</v>
      </c>
      <c r="G969" s="4">
        <f t="shared" si="61"/>
        <v>1.4254512012875198E-2</v>
      </c>
      <c r="I969" s="3">
        <v>44582</v>
      </c>
      <c r="J969" s="1">
        <v>92.003</v>
      </c>
      <c r="K969" s="4">
        <f t="shared" si="62"/>
        <v>-2.4689394903108064E-2</v>
      </c>
      <c r="M969" s="5">
        <v>44582</v>
      </c>
      <c r="N969" s="2">
        <v>17757</v>
      </c>
      <c r="O969" s="4">
        <f t="shared" si="63"/>
        <v>-1.0112384605093117E-2</v>
      </c>
    </row>
    <row r="970" spans="1:15" x14ac:dyDescent="0.25">
      <c r="A970" s="3">
        <v>44581</v>
      </c>
      <c r="B970" s="1">
        <v>219.92500000000001</v>
      </c>
      <c r="C970" s="4">
        <f t="shared" si="60"/>
        <v>1.4222402589916028E-2</v>
      </c>
      <c r="E970" s="3">
        <v>44581</v>
      </c>
      <c r="F970" s="1">
        <v>86.99</v>
      </c>
      <c r="G970" s="4">
        <f t="shared" si="61"/>
        <v>1.2689173457508529E-2</v>
      </c>
      <c r="I970" s="3">
        <v>44581</v>
      </c>
      <c r="J970" s="1">
        <v>94.331999999999994</v>
      </c>
      <c r="K970" s="4">
        <f t="shared" si="62"/>
        <v>-1.2726587683677404E-2</v>
      </c>
      <c r="M970" s="5">
        <v>44581</v>
      </c>
      <c r="N970" s="2">
        <v>17938.400000000001</v>
      </c>
      <c r="O970" s="4">
        <f t="shared" si="63"/>
        <v>-9.6422192838863108E-3</v>
      </c>
    </row>
    <row r="971" spans="1:15" x14ac:dyDescent="0.25">
      <c r="A971" s="3">
        <v>44580</v>
      </c>
      <c r="B971" s="1">
        <v>216.84100000000001</v>
      </c>
      <c r="C971" s="4">
        <f t="shared" si="60"/>
        <v>9.52066146483177E-3</v>
      </c>
      <c r="E971" s="3">
        <v>44580</v>
      </c>
      <c r="F971" s="1">
        <v>85.9</v>
      </c>
      <c r="G971" s="4">
        <f t="shared" si="61"/>
        <v>1.1642798928868103E-4</v>
      </c>
      <c r="I971" s="3">
        <v>44580</v>
      </c>
      <c r="J971" s="1">
        <v>95.548000000000002</v>
      </c>
      <c r="K971" s="4">
        <f t="shared" si="62"/>
        <v>-6.7981954637117425E-3</v>
      </c>
      <c r="M971" s="5">
        <v>44580</v>
      </c>
      <c r="N971" s="2">
        <v>18113.05</v>
      </c>
      <c r="O971" s="4">
        <f t="shared" si="63"/>
        <v>-1.0653754349167821E-2</v>
      </c>
    </row>
    <row r="972" spans="1:15" x14ac:dyDescent="0.25">
      <c r="A972" s="3">
        <v>44579</v>
      </c>
      <c r="B972" s="1">
        <v>214.79599999999999</v>
      </c>
      <c r="C972" s="4">
        <f t="shared" si="60"/>
        <v>1.2558218467746407E-2</v>
      </c>
      <c r="E972" s="3">
        <v>44579</v>
      </c>
      <c r="F972" s="1">
        <v>85.89</v>
      </c>
      <c r="G972" s="4">
        <f t="shared" si="61"/>
        <v>-2.7864855451061876E-3</v>
      </c>
      <c r="I972" s="3">
        <v>44579</v>
      </c>
      <c r="J972" s="1">
        <v>96.201999999999998</v>
      </c>
      <c r="K972" s="4">
        <f t="shared" si="62"/>
        <v>-6.2700781952090834E-3</v>
      </c>
      <c r="M972" s="5">
        <v>44579</v>
      </c>
      <c r="N972" s="2">
        <v>18308.099999999999</v>
      </c>
      <c r="O972" s="4">
        <f t="shared" si="63"/>
        <v>2.8675896635306231E-3</v>
      </c>
    </row>
    <row r="973" spans="1:15" x14ac:dyDescent="0.25">
      <c r="A973" s="3">
        <v>44578</v>
      </c>
      <c r="B973" s="1">
        <v>212.13200000000001</v>
      </c>
      <c r="C973" s="4">
        <f t="shared" si="60"/>
        <v>2.3531190640446731E-3</v>
      </c>
      <c r="E973" s="3">
        <v>44578</v>
      </c>
      <c r="F973" s="1">
        <v>86.13</v>
      </c>
      <c r="G973" s="4">
        <f t="shared" si="61"/>
        <v>9.9671669793619522E-3</v>
      </c>
      <c r="I973" s="3">
        <v>44578</v>
      </c>
      <c r="J973" s="1">
        <v>96.808999999999997</v>
      </c>
      <c r="K973" s="4">
        <f t="shared" si="62"/>
        <v>-1.2213537946656361E-2</v>
      </c>
      <c r="M973" s="5">
        <v>44578</v>
      </c>
      <c r="N973" s="2">
        <v>18255.75</v>
      </c>
      <c r="O973" s="4">
        <f t="shared" si="63"/>
        <v>-1.1228077862612817E-4</v>
      </c>
    </row>
    <row r="974" spans="1:15" x14ac:dyDescent="0.25">
      <c r="A974" s="3">
        <v>44575</v>
      </c>
      <c r="B974" s="1">
        <v>211.63399999999999</v>
      </c>
      <c r="C974" s="4">
        <f t="shared" si="60"/>
        <v>-5.5681118697108456E-3</v>
      </c>
      <c r="E974" s="3">
        <v>44575</v>
      </c>
      <c r="F974" s="1">
        <v>85.28</v>
      </c>
      <c r="G974" s="4">
        <f t="shared" si="61"/>
        <v>-2.570547240945964E-2</v>
      </c>
      <c r="I974" s="3">
        <v>44575</v>
      </c>
      <c r="J974" s="1">
        <v>98.006</v>
      </c>
      <c r="K974" s="4">
        <f t="shared" si="62"/>
        <v>4.3862346020620002E-3</v>
      </c>
      <c r="M974" s="5">
        <v>44575</v>
      </c>
      <c r="N974" s="2">
        <v>18257.8</v>
      </c>
      <c r="O974" s="4">
        <f t="shared" si="63"/>
        <v>2.495559331991748E-3</v>
      </c>
    </row>
    <row r="975" spans="1:15" x14ac:dyDescent="0.25">
      <c r="A975" s="3">
        <v>44574</v>
      </c>
      <c r="B975" s="1">
        <v>212.81899999999999</v>
      </c>
      <c r="C975" s="4">
        <f t="shared" si="60"/>
        <v>1.4211030466504848E-2</v>
      </c>
      <c r="E975" s="3">
        <v>44574</v>
      </c>
      <c r="F975" s="1">
        <v>87.53</v>
      </c>
      <c r="G975" s="4">
        <f t="shared" si="61"/>
        <v>-1.2299706612502903E-2</v>
      </c>
      <c r="I975" s="3">
        <v>44574</v>
      </c>
      <c r="J975" s="1">
        <v>97.578000000000003</v>
      </c>
      <c r="K975" s="4">
        <f t="shared" si="62"/>
        <v>4.7164007710298606E-4</v>
      </c>
      <c r="M975" s="5">
        <v>44574</v>
      </c>
      <c r="N975" s="2">
        <v>18212.349999999999</v>
      </c>
      <c r="O975" s="4">
        <f t="shared" si="63"/>
        <v>8.6731373662130018E-3</v>
      </c>
    </row>
    <row r="976" spans="1:15" x14ac:dyDescent="0.25">
      <c r="A976" s="3">
        <v>44573</v>
      </c>
      <c r="B976" s="1">
        <v>209.83699999999999</v>
      </c>
      <c r="C976" s="4">
        <f t="shared" si="60"/>
        <v>-3.2393872601009011E-2</v>
      </c>
      <c r="E976" s="3">
        <v>44573</v>
      </c>
      <c r="F976" s="1">
        <v>88.62</v>
      </c>
      <c r="G976" s="4">
        <f t="shared" si="61"/>
        <v>-5.4988216810682999E-3</v>
      </c>
      <c r="I976" s="3">
        <v>44573</v>
      </c>
      <c r="J976" s="1">
        <v>97.531999999999996</v>
      </c>
      <c r="K976" s="4">
        <f t="shared" si="62"/>
        <v>3.2401740436343029E-3</v>
      </c>
      <c r="M976" s="5">
        <v>44573</v>
      </c>
      <c r="N976" s="2">
        <v>18055.75</v>
      </c>
      <c r="O976" s="4">
        <f t="shared" si="63"/>
        <v>2.9133547738471322E-3</v>
      </c>
    </row>
    <row r="977" spans="1:15" x14ac:dyDescent="0.25">
      <c r="A977" s="3">
        <v>44572</v>
      </c>
      <c r="B977" s="1">
        <v>216.86199999999999</v>
      </c>
      <c r="C977" s="4">
        <f t="shared" si="60"/>
        <v>-1.402610628924239E-2</v>
      </c>
      <c r="E977" s="3">
        <v>44572</v>
      </c>
      <c r="F977" s="1">
        <v>89.11</v>
      </c>
      <c r="G977" s="4">
        <f t="shared" si="61"/>
        <v>-3.2438478747204291E-3</v>
      </c>
      <c r="I977" s="3">
        <v>44572</v>
      </c>
      <c r="J977" s="1">
        <v>97.216999999999999</v>
      </c>
      <c r="K977" s="4">
        <f t="shared" si="62"/>
        <v>9.9523161470616017E-3</v>
      </c>
      <c r="M977" s="5">
        <v>44572</v>
      </c>
      <c r="N977" s="2">
        <v>18003.3</v>
      </c>
      <c r="O977" s="4">
        <f t="shared" si="63"/>
        <v>1.0700230734251415E-2</v>
      </c>
    </row>
    <row r="978" spans="1:15" x14ac:dyDescent="0.25">
      <c r="A978" s="3">
        <v>44571</v>
      </c>
      <c r="B978" s="1">
        <v>219.947</v>
      </c>
      <c r="C978" s="4">
        <f t="shared" si="60"/>
        <v>-2.8832684295707622E-3</v>
      </c>
      <c r="E978" s="3">
        <v>44571</v>
      </c>
      <c r="F978" s="1">
        <v>89.4</v>
      </c>
      <c r="G978" s="4">
        <f t="shared" si="61"/>
        <v>-1.3680494263018428E-2</v>
      </c>
      <c r="I978" s="3">
        <v>44571</v>
      </c>
      <c r="J978" s="1">
        <v>96.259</v>
      </c>
      <c r="K978" s="4">
        <f t="shared" si="62"/>
        <v>2.7919284099551245E-3</v>
      </c>
      <c r="M978" s="5">
        <v>44571</v>
      </c>
      <c r="N978" s="2">
        <v>17812.7</v>
      </c>
      <c r="O978" s="4">
        <f t="shared" si="63"/>
        <v>3.7642497703693767E-3</v>
      </c>
    </row>
    <row r="979" spans="1:15" x14ac:dyDescent="0.25">
      <c r="A979" s="3">
        <v>44568</v>
      </c>
      <c r="B979" s="1">
        <v>220.583</v>
      </c>
      <c r="C979" s="4">
        <f t="shared" si="60"/>
        <v>-5.0383400992332072E-3</v>
      </c>
      <c r="E979" s="3">
        <v>44568</v>
      </c>
      <c r="F979" s="1">
        <v>90.64</v>
      </c>
      <c r="G979" s="4">
        <f t="shared" si="61"/>
        <v>1.1044842058758331E-3</v>
      </c>
      <c r="I979" s="3">
        <v>44568</v>
      </c>
      <c r="J979" s="1">
        <v>95.991</v>
      </c>
      <c r="K979" s="4">
        <f t="shared" si="62"/>
        <v>9.2099038006623335E-3</v>
      </c>
      <c r="M979" s="5">
        <v>44568</v>
      </c>
      <c r="N979" s="2">
        <v>17745.900000000001</v>
      </c>
      <c r="O979" s="4">
        <f t="shared" si="63"/>
        <v>-1.0005439254682558E-2</v>
      </c>
    </row>
    <row r="980" spans="1:15" x14ac:dyDescent="0.25">
      <c r="A980" s="3">
        <v>44567</v>
      </c>
      <c r="B980" s="1">
        <v>221.7</v>
      </c>
      <c r="C980" s="4">
        <f t="shared" si="60"/>
        <v>-9.7285128507490493E-3</v>
      </c>
      <c r="E980" s="3">
        <v>44567</v>
      </c>
      <c r="F980" s="1">
        <v>90.54</v>
      </c>
      <c r="G980" s="4">
        <f t="shared" si="61"/>
        <v>2.3248090335437066E-3</v>
      </c>
      <c r="I980" s="3">
        <v>44567</v>
      </c>
      <c r="J980" s="1">
        <v>95.114999999999995</v>
      </c>
      <c r="K980" s="4">
        <f t="shared" si="62"/>
        <v>5.603425490299685E-3</v>
      </c>
      <c r="M980" s="5">
        <v>44567</v>
      </c>
      <c r="N980" s="2">
        <v>17925.25</v>
      </c>
      <c r="O980" s="4">
        <f t="shared" si="63"/>
        <v>6.7395852346920915E-3</v>
      </c>
    </row>
    <row r="981" spans="1:15" x14ac:dyDescent="0.25">
      <c r="A981" s="3">
        <v>44566</v>
      </c>
      <c r="B981" s="1">
        <v>223.87799999999999</v>
      </c>
      <c r="C981" s="4">
        <f t="shared" si="60"/>
        <v>-7.5928448603268528E-5</v>
      </c>
      <c r="E981" s="3">
        <v>44566</v>
      </c>
      <c r="F981" s="1">
        <v>90.33</v>
      </c>
      <c r="G981" s="4">
        <f t="shared" si="61"/>
        <v>1.8855368234249603E-3</v>
      </c>
      <c r="I981" s="3">
        <v>44566</v>
      </c>
      <c r="J981" s="1">
        <v>94.584999999999994</v>
      </c>
      <c r="K981" s="4">
        <f t="shared" si="62"/>
        <v>-7.408884364735413E-3</v>
      </c>
      <c r="M981" s="5">
        <v>44566</v>
      </c>
      <c r="N981" s="2">
        <v>17805.25</v>
      </c>
      <c r="O981" s="4">
        <f t="shared" si="63"/>
        <v>1.0186829459255531E-2</v>
      </c>
    </row>
    <row r="982" spans="1:15" x14ac:dyDescent="0.25">
      <c r="A982" s="3">
        <v>44565</v>
      </c>
      <c r="B982" s="1">
        <v>223.89500000000001</v>
      </c>
      <c r="C982" s="4">
        <f t="shared" si="60"/>
        <v>-1.048498639182549E-3</v>
      </c>
      <c r="E982" s="3">
        <v>44565</v>
      </c>
      <c r="F982" s="1">
        <v>90.16</v>
      </c>
      <c r="G982" s="4">
        <f t="shared" si="61"/>
        <v>7.7120822622107621E-3</v>
      </c>
      <c r="I982" s="3">
        <v>44565</v>
      </c>
      <c r="J982" s="1">
        <v>95.290999999999997</v>
      </c>
      <c r="K982" s="4">
        <f t="shared" si="62"/>
        <v>5.9858114099911042E-3</v>
      </c>
      <c r="M982" s="5">
        <v>44565</v>
      </c>
      <c r="N982" s="2">
        <v>17625.7</v>
      </c>
      <c r="O982" s="4">
        <f t="shared" si="63"/>
        <v>1.5653406553513438E-2</v>
      </c>
    </row>
    <row r="983" spans="1:15" x14ac:dyDescent="0.25">
      <c r="A983" s="3">
        <v>44564</v>
      </c>
      <c r="B983" s="1">
        <v>224.13</v>
      </c>
      <c r="C983" s="4">
        <f t="shared" si="60"/>
        <v>2.8053314720608569E-3</v>
      </c>
      <c r="E983" s="3">
        <v>44564</v>
      </c>
      <c r="F983" s="1">
        <v>89.47</v>
      </c>
      <c r="G983" s="4">
        <f t="shared" si="61"/>
        <v>4.6036379968559249E-3</v>
      </c>
      <c r="I983" s="3">
        <v>44564</v>
      </c>
      <c r="J983" s="1">
        <v>94.724000000000004</v>
      </c>
      <c r="K983" s="4">
        <f t="shared" si="62"/>
        <v>7.9594790159189799E-3</v>
      </c>
      <c r="M983" s="5">
        <v>44564</v>
      </c>
      <c r="N983" s="2">
        <v>17354.05</v>
      </c>
      <c r="O983" s="4">
        <f t="shared" si="63"/>
        <v>8.7247405392365529E-3</v>
      </c>
    </row>
    <row r="984" spans="1:15" x14ac:dyDescent="0.25">
      <c r="A984" s="3">
        <v>44561</v>
      </c>
      <c r="B984" s="1">
        <v>223.50299999999999</v>
      </c>
      <c r="C984" s="4">
        <f t="shared" si="60"/>
        <v>8.7013426604987121E-3</v>
      </c>
      <c r="E984" s="3">
        <v>44561</v>
      </c>
      <c r="F984" s="1">
        <v>89.06</v>
      </c>
      <c r="G984" s="4">
        <f t="shared" si="61"/>
        <v>1.2275517162991578E-2</v>
      </c>
      <c r="I984" s="3">
        <v>44561</v>
      </c>
      <c r="J984" s="1">
        <v>93.975999999999999</v>
      </c>
      <c r="K984" s="4">
        <f t="shared" si="62"/>
        <v>1.2945297763405916E-2</v>
      </c>
      <c r="M984" s="5">
        <v>44561</v>
      </c>
      <c r="N984" s="2">
        <v>17203.95</v>
      </c>
      <c r="O984" s="4">
        <f t="shared" si="63"/>
        <v>-5.6060324394646699E-4</v>
      </c>
    </row>
    <row r="985" spans="1:15" x14ac:dyDescent="0.25">
      <c r="A985" s="3">
        <v>44560</v>
      </c>
      <c r="B985" s="1">
        <v>221.57499999999999</v>
      </c>
      <c r="C985" s="4">
        <f t="shared" si="60"/>
        <v>3.4554281470209336E-3</v>
      </c>
      <c r="E985" s="3">
        <v>44560</v>
      </c>
      <c r="F985" s="1">
        <v>87.98</v>
      </c>
      <c r="G985" s="4">
        <f t="shared" si="61"/>
        <v>2.0501138952164766E-3</v>
      </c>
      <c r="I985" s="3">
        <v>44560</v>
      </c>
      <c r="J985" s="1">
        <v>92.775000000000006</v>
      </c>
      <c r="K985" s="4">
        <f t="shared" si="62"/>
        <v>9.3564706522331065E-3</v>
      </c>
      <c r="M985" s="5">
        <v>44560</v>
      </c>
      <c r="N985" s="2">
        <v>17213.599999999999</v>
      </c>
      <c r="O985" s="4">
        <f t="shared" si="63"/>
        <v>-1.1402376220388533E-3</v>
      </c>
    </row>
    <row r="986" spans="1:15" x14ac:dyDescent="0.25">
      <c r="A986" s="3">
        <v>44559</v>
      </c>
      <c r="B986" s="1">
        <v>220.81200000000001</v>
      </c>
      <c r="C986" s="4">
        <f t="shared" si="60"/>
        <v>1.0460997776008396E-2</v>
      </c>
      <c r="E986" s="3">
        <v>44559</v>
      </c>
      <c r="F986" s="1">
        <v>87.8</v>
      </c>
      <c r="G986" s="4">
        <f t="shared" si="61"/>
        <v>-5.6625141562853809E-3</v>
      </c>
      <c r="I986" s="3">
        <v>44559</v>
      </c>
      <c r="J986" s="1">
        <v>91.915000000000006</v>
      </c>
      <c r="K986" s="4">
        <f t="shared" si="62"/>
        <v>4.4626336068986916E-4</v>
      </c>
      <c r="M986" s="5">
        <v>44559</v>
      </c>
      <c r="N986" s="2">
        <v>17233.25</v>
      </c>
      <c r="O986" s="4">
        <f t="shared" si="63"/>
        <v>8.6034091740434526E-3</v>
      </c>
    </row>
    <row r="987" spans="1:15" x14ac:dyDescent="0.25">
      <c r="A987" s="3">
        <v>44558</v>
      </c>
      <c r="B987" s="1">
        <v>218.52600000000001</v>
      </c>
      <c r="C987" s="4">
        <f t="shared" si="60"/>
        <v>-1.0981468771453784E-4</v>
      </c>
      <c r="E987" s="3">
        <v>44558</v>
      </c>
      <c r="F987" s="1">
        <v>88.3</v>
      </c>
      <c r="G987" s="4">
        <f t="shared" si="61"/>
        <v>1.5880217785844142E-3</v>
      </c>
      <c r="I987" s="3">
        <v>44558</v>
      </c>
      <c r="J987" s="1">
        <v>91.873999999999995</v>
      </c>
      <c r="K987" s="4">
        <f t="shared" si="62"/>
        <v>5.554163989414107E-4</v>
      </c>
      <c r="M987" s="5">
        <v>44558</v>
      </c>
      <c r="N987" s="2">
        <v>17086.25</v>
      </c>
      <c r="O987" s="4">
        <f t="shared" si="63"/>
        <v>4.8518709108285041E-3</v>
      </c>
    </row>
    <row r="988" spans="1:15" x14ac:dyDescent="0.25">
      <c r="A988" s="3">
        <v>44557</v>
      </c>
      <c r="B988" s="1">
        <v>218.55</v>
      </c>
      <c r="C988" s="4">
        <f t="shared" si="60"/>
        <v>-6.4147735280345453E-3</v>
      </c>
      <c r="E988" s="3">
        <v>44557</v>
      </c>
      <c r="F988" s="1">
        <v>88.16</v>
      </c>
      <c r="G988" s="4">
        <f t="shared" si="61"/>
        <v>5.1305438376467727E-3</v>
      </c>
      <c r="I988" s="3">
        <v>44557</v>
      </c>
      <c r="J988" s="1">
        <v>91.822999999999993</v>
      </c>
      <c r="K988" s="4">
        <f t="shared" si="62"/>
        <v>8.3790907094223321E-3</v>
      </c>
      <c r="M988" s="5">
        <v>44557</v>
      </c>
      <c r="N988" s="2">
        <v>17003.75</v>
      </c>
      <c r="O988" s="4">
        <f t="shared" si="63"/>
        <v>-4.0327776671390536E-3</v>
      </c>
    </row>
    <row r="989" spans="1:15" x14ac:dyDescent="0.25">
      <c r="A989" s="3">
        <v>44554</v>
      </c>
      <c r="B989" s="1">
        <v>219.96100000000001</v>
      </c>
      <c r="C989" s="4">
        <f t="shared" si="60"/>
        <v>1.0786259125086239E-3</v>
      </c>
      <c r="E989" s="3">
        <v>44554</v>
      </c>
      <c r="F989" s="1">
        <v>87.71</v>
      </c>
      <c r="G989" s="4">
        <f t="shared" si="61"/>
        <v>1.2466812882373279E-2</v>
      </c>
      <c r="I989" s="3">
        <v>44554</v>
      </c>
      <c r="J989" s="1">
        <v>91.06</v>
      </c>
      <c r="K989" s="4">
        <f t="shared" si="62"/>
        <v>3.2059403540856124E-3</v>
      </c>
      <c r="M989" s="5">
        <v>44554</v>
      </c>
      <c r="N989" s="2">
        <v>17072.599999999999</v>
      </c>
      <c r="O989" s="4">
        <f t="shared" si="63"/>
        <v>6.9092828559547126E-3</v>
      </c>
    </row>
    <row r="990" spans="1:15" x14ac:dyDescent="0.25">
      <c r="A990" s="3">
        <v>44553</v>
      </c>
      <c r="B990" s="1">
        <v>219.72399999999999</v>
      </c>
      <c r="C990" s="4">
        <f t="shared" si="60"/>
        <v>8.4865174985655489E-3</v>
      </c>
      <c r="E990" s="3">
        <v>44553</v>
      </c>
      <c r="F990" s="1">
        <v>86.63</v>
      </c>
      <c r="G990" s="4">
        <f t="shared" si="61"/>
        <v>8.7331159757801924E-3</v>
      </c>
      <c r="I990" s="3">
        <v>44553</v>
      </c>
      <c r="J990" s="1">
        <v>90.769000000000005</v>
      </c>
      <c r="K990" s="4">
        <f t="shared" si="62"/>
        <v>-6.3057638622803225E-3</v>
      </c>
      <c r="M990" s="5">
        <v>44553</v>
      </c>
      <c r="N990" s="2">
        <v>16955.45</v>
      </c>
      <c r="O990" s="4">
        <f t="shared" si="63"/>
        <v>1.1007194030117962E-2</v>
      </c>
    </row>
    <row r="991" spans="1:15" x14ac:dyDescent="0.25">
      <c r="A991" s="3">
        <v>44552</v>
      </c>
      <c r="B991" s="1">
        <v>217.875</v>
      </c>
      <c r="C991" s="4">
        <f t="shared" si="60"/>
        <v>1.4070150615307364E-2</v>
      </c>
      <c r="E991" s="3">
        <v>44552</v>
      </c>
      <c r="F991" s="1">
        <v>85.88</v>
      </c>
      <c r="G991" s="4">
        <f t="shared" si="61"/>
        <v>-8.1442699243750027E-4</v>
      </c>
      <c r="I991" s="3">
        <v>44552</v>
      </c>
      <c r="J991" s="1">
        <v>91.344999999999999</v>
      </c>
      <c r="K991" s="4">
        <f t="shared" si="62"/>
        <v>7.0336357723219667E-3</v>
      </c>
      <c r="M991" s="5">
        <v>44552</v>
      </c>
      <c r="N991" s="2">
        <v>16770.849999999999</v>
      </c>
      <c r="O991" s="4">
        <f t="shared" si="63"/>
        <v>9.4286814893282944E-3</v>
      </c>
    </row>
    <row r="992" spans="1:15" x14ac:dyDescent="0.25">
      <c r="A992" s="3">
        <v>44551</v>
      </c>
      <c r="B992" s="1">
        <v>214.852</v>
      </c>
      <c r="C992" s="4">
        <f t="shared" si="60"/>
        <v>7.9944451742450795E-3</v>
      </c>
      <c r="E992" s="3">
        <v>44551</v>
      </c>
      <c r="F992" s="1">
        <v>85.95</v>
      </c>
      <c r="G992" s="4">
        <f t="shared" si="61"/>
        <v>-5.8139534883716593E-4</v>
      </c>
      <c r="I992" s="3">
        <v>44551</v>
      </c>
      <c r="J992" s="1">
        <v>90.706999999999994</v>
      </c>
      <c r="K992" s="4">
        <f t="shared" si="62"/>
        <v>1.3735219830572909E-2</v>
      </c>
      <c r="M992" s="5">
        <v>44551</v>
      </c>
      <c r="N992" s="2">
        <v>16614.2</v>
      </c>
      <c r="O992" s="4">
        <f t="shared" si="63"/>
        <v>-2.1842545274709746E-2</v>
      </c>
    </row>
    <row r="993" spans="1:15" x14ac:dyDescent="0.25">
      <c r="A993" s="3">
        <v>44550</v>
      </c>
      <c r="B993" s="1">
        <v>213.148</v>
      </c>
      <c r="C993" s="4">
        <f t="shared" si="60"/>
        <v>-4.126882890318484E-4</v>
      </c>
      <c r="E993" s="3">
        <v>44550</v>
      </c>
      <c r="F993" s="1">
        <v>86</v>
      </c>
      <c r="G993" s="4">
        <f t="shared" si="61"/>
        <v>9.3896713615022609E-3</v>
      </c>
      <c r="I993" s="3">
        <v>44550</v>
      </c>
      <c r="J993" s="1">
        <v>89.477999999999994</v>
      </c>
      <c r="K993" s="4">
        <f t="shared" si="62"/>
        <v>1.2309084738092446E-2</v>
      </c>
      <c r="M993" s="5">
        <v>44550</v>
      </c>
      <c r="N993" s="2">
        <v>16985.2</v>
      </c>
      <c r="O993" s="4">
        <f t="shared" si="63"/>
        <v>-1.5259386377866946E-2</v>
      </c>
    </row>
    <row r="994" spans="1:15" x14ac:dyDescent="0.25">
      <c r="A994" s="3">
        <v>44547</v>
      </c>
      <c r="B994" s="1">
        <v>213.23599999999999</v>
      </c>
      <c r="C994" s="4">
        <f t="shared" si="60"/>
        <v>1.4512015855199234E-3</v>
      </c>
      <c r="E994" s="3">
        <v>44547</v>
      </c>
      <c r="F994" s="1">
        <v>85.2</v>
      </c>
      <c r="G994" s="4">
        <f t="shared" si="61"/>
        <v>4.1249263406011316E-3</v>
      </c>
      <c r="I994" s="3">
        <v>44547</v>
      </c>
      <c r="J994" s="1">
        <v>88.39</v>
      </c>
      <c r="K994" s="4">
        <f t="shared" si="62"/>
        <v>-2.7227504842401884E-2</v>
      </c>
      <c r="M994" s="5">
        <v>44547</v>
      </c>
      <c r="N994" s="2">
        <v>17248.400000000001</v>
      </c>
      <c r="O994" s="4">
        <f t="shared" si="63"/>
        <v>1.5678167860917469E-3</v>
      </c>
    </row>
    <row r="995" spans="1:15" x14ac:dyDescent="0.25">
      <c r="A995" s="3">
        <v>44546</v>
      </c>
      <c r="B995" s="1">
        <v>212.92699999999999</v>
      </c>
      <c r="C995" s="4">
        <f t="shared" si="60"/>
        <v>9.1279188250292798E-3</v>
      </c>
      <c r="E995" s="3">
        <v>44546</v>
      </c>
      <c r="F995" s="1">
        <v>84.85</v>
      </c>
      <c r="G995" s="4">
        <f t="shared" si="61"/>
        <v>-4.5753167526982885E-3</v>
      </c>
      <c r="I995" s="3">
        <v>44546</v>
      </c>
      <c r="J995" s="1">
        <v>90.864000000000004</v>
      </c>
      <c r="K995" s="4">
        <f t="shared" si="62"/>
        <v>-1.4169469458609085E-2</v>
      </c>
      <c r="M995" s="5">
        <v>44546</v>
      </c>
      <c r="N995" s="2">
        <v>17221.400000000001</v>
      </c>
      <c r="O995" s="4">
        <f t="shared" si="63"/>
        <v>-5.9740604563374156E-3</v>
      </c>
    </row>
    <row r="996" spans="1:15" x14ac:dyDescent="0.25">
      <c r="A996" s="3">
        <v>44545</v>
      </c>
      <c r="B996" s="1">
        <v>211.001</v>
      </c>
      <c r="C996" s="4">
        <f t="shared" si="60"/>
        <v>-9.0912104094365009E-4</v>
      </c>
      <c r="E996" s="3">
        <v>44545</v>
      </c>
      <c r="F996" s="1">
        <v>85.24</v>
      </c>
      <c r="G996" s="4">
        <f t="shared" si="61"/>
        <v>8.9962121212119328E-3</v>
      </c>
      <c r="I996" s="3">
        <v>44545</v>
      </c>
      <c r="J996" s="1">
        <v>92.17</v>
      </c>
      <c r="K996" s="4">
        <f t="shared" si="62"/>
        <v>2.9302280151499716E-4</v>
      </c>
      <c r="M996" s="5">
        <v>44545</v>
      </c>
      <c r="N996" s="2">
        <v>17324.900000000001</v>
      </c>
      <c r="O996" s="4">
        <f t="shared" si="63"/>
        <v>-2.4959336720740133E-3</v>
      </c>
    </row>
    <row r="997" spans="1:15" x14ac:dyDescent="0.25">
      <c r="A997" s="3">
        <v>44544</v>
      </c>
      <c r="B997" s="1">
        <v>211.19300000000001</v>
      </c>
      <c r="C997" s="4">
        <f t="shared" si="60"/>
        <v>-4.3701678295303692E-3</v>
      </c>
      <c r="E997" s="3">
        <v>44544</v>
      </c>
      <c r="F997" s="1">
        <v>84.48</v>
      </c>
      <c r="G997" s="4">
        <f t="shared" si="61"/>
        <v>1.367890568754504E-2</v>
      </c>
      <c r="I997" s="3">
        <v>44544</v>
      </c>
      <c r="J997" s="1">
        <v>92.143000000000001</v>
      </c>
      <c r="K997" s="4">
        <f t="shared" si="62"/>
        <v>-4.7417424553367615E-3</v>
      </c>
      <c r="M997" s="5">
        <v>44544</v>
      </c>
      <c r="N997" s="2">
        <v>17368.25</v>
      </c>
      <c r="O997" s="4">
        <f t="shared" si="63"/>
        <v>-8.1690108672685113E-3</v>
      </c>
    </row>
    <row r="998" spans="1:15" x14ac:dyDescent="0.25">
      <c r="A998" s="3">
        <v>44543</v>
      </c>
      <c r="B998" s="1">
        <v>212.12</v>
      </c>
      <c r="C998" s="4">
        <f t="shared" si="60"/>
        <v>7.7965022638837311E-3</v>
      </c>
      <c r="E998" s="3">
        <v>44543</v>
      </c>
      <c r="F998" s="1">
        <v>83.34</v>
      </c>
      <c r="G998" s="4">
        <f t="shared" si="61"/>
        <v>8.9588377723972545E-3</v>
      </c>
      <c r="I998" s="3">
        <v>44543</v>
      </c>
      <c r="J998" s="1">
        <v>92.581999999999994</v>
      </c>
      <c r="K998" s="4">
        <f t="shared" si="62"/>
        <v>-1.7682703297177138E-3</v>
      </c>
      <c r="M998" s="5">
        <v>44543</v>
      </c>
      <c r="N998" s="2">
        <v>17511.3</v>
      </c>
      <c r="O998" s="4">
        <f t="shared" si="63"/>
        <v>-3.1683778761593118E-4</v>
      </c>
    </row>
    <row r="999" spans="1:15" x14ac:dyDescent="0.25">
      <c r="A999" s="3">
        <v>44540</v>
      </c>
      <c r="B999" s="1">
        <v>210.47900000000001</v>
      </c>
      <c r="C999" s="4">
        <f t="shared" si="60"/>
        <v>1.5913544612949027E-2</v>
      </c>
      <c r="E999" s="3">
        <v>44540</v>
      </c>
      <c r="F999" s="1">
        <v>82.6</v>
      </c>
      <c r="G999" s="4">
        <f t="shared" si="61"/>
        <v>-2.5253717252773145E-2</v>
      </c>
      <c r="I999" s="3">
        <v>44540</v>
      </c>
      <c r="J999" s="1">
        <v>92.745999999999995</v>
      </c>
      <c r="K999" s="4">
        <f t="shared" si="62"/>
        <v>-4.3477794119225477E-3</v>
      </c>
      <c r="M999" s="5">
        <v>44540</v>
      </c>
      <c r="N999" s="2">
        <v>17516.849999999999</v>
      </c>
      <c r="O999" s="4">
        <f t="shared" si="63"/>
        <v>2.6960889537628319E-3</v>
      </c>
    </row>
    <row r="1000" spans="1:15" x14ac:dyDescent="0.25">
      <c r="A1000" s="3">
        <v>44539</v>
      </c>
      <c r="B1000" s="1">
        <v>207.18199999999999</v>
      </c>
      <c r="C1000" s="4">
        <f t="shared" si="60"/>
        <v>1.0900325936334943E-2</v>
      </c>
      <c r="E1000" s="3">
        <v>44539</v>
      </c>
      <c r="F1000" s="1">
        <v>84.74</v>
      </c>
      <c r="G1000" s="4">
        <f t="shared" si="61"/>
        <v>-1.5681263793704381E-2</v>
      </c>
      <c r="I1000" s="3">
        <v>44539</v>
      </c>
      <c r="J1000" s="1">
        <v>93.150999999999996</v>
      </c>
      <c r="K1000" s="4">
        <f t="shared" si="62"/>
        <v>2.6154905928443828E-3</v>
      </c>
      <c r="M1000" s="5">
        <v>44539</v>
      </c>
      <c r="N1000" s="2">
        <v>17469.75</v>
      </c>
      <c r="O1000" s="4">
        <f t="shared" si="63"/>
        <v>1.7060902268771105E-2</v>
      </c>
    </row>
    <row r="1001" spans="1:15" x14ac:dyDescent="0.25">
      <c r="A1001" s="3">
        <v>44538</v>
      </c>
      <c r="B1001" s="1">
        <v>204.94800000000001</v>
      </c>
      <c r="C1001" s="4">
        <f t="shared" si="60"/>
        <v>-2.2968450559194498E-2</v>
      </c>
      <c r="E1001" s="3">
        <v>44538</v>
      </c>
      <c r="F1001" s="1">
        <v>86.09</v>
      </c>
      <c r="G1001" s="4">
        <f t="shared" si="61"/>
        <v>-1.9707859958265628E-3</v>
      </c>
      <c r="I1001" s="3">
        <v>44538</v>
      </c>
      <c r="J1001" s="1">
        <v>92.908000000000001</v>
      </c>
      <c r="K1001" s="4">
        <f t="shared" si="62"/>
        <v>1.8871383434160283E-3</v>
      </c>
      <c r="M1001" s="5">
        <v>44538</v>
      </c>
      <c r="N1001" s="2">
        <v>17176.7</v>
      </c>
      <c r="O1001" s="4">
        <f t="shared" si="63"/>
        <v>1.5636594775976009E-2</v>
      </c>
    </row>
    <row r="1002" spans="1:15" x14ac:dyDescent="0.25">
      <c r="A1002" s="3">
        <v>44537</v>
      </c>
      <c r="B1002" s="1">
        <v>209.76599999999999</v>
      </c>
      <c r="C1002" s="4">
        <f t="shared" si="60"/>
        <v>-1.4567781760441934E-2</v>
      </c>
      <c r="E1002" s="3">
        <v>44537</v>
      </c>
      <c r="F1002" s="1">
        <v>86.26</v>
      </c>
      <c r="G1002" s="4">
        <f t="shared" si="61"/>
        <v>-3.0050855293572987E-3</v>
      </c>
      <c r="I1002" s="3">
        <v>44537</v>
      </c>
      <c r="J1002" s="1">
        <v>92.733000000000004</v>
      </c>
      <c r="K1002" s="4">
        <f t="shared" si="62"/>
        <v>1.7869491246364166E-2</v>
      </c>
      <c r="M1002" s="5">
        <v>44537</v>
      </c>
      <c r="N1002" s="2">
        <v>16912.25</v>
      </c>
      <c r="O1002" s="4">
        <f t="shared" si="63"/>
        <v>-1.6540964254769808E-2</v>
      </c>
    </row>
    <row r="1003" spans="1:15" x14ac:dyDescent="0.25">
      <c r="A1003" s="3">
        <v>44536</v>
      </c>
      <c r="B1003" s="1">
        <v>212.86699999999999</v>
      </c>
      <c r="C1003" s="4">
        <f t="shared" si="60"/>
        <v>-5.043328690417237E-3</v>
      </c>
      <c r="E1003" s="3">
        <v>44536</v>
      </c>
      <c r="F1003" s="1">
        <v>86.52</v>
      </c>
      <c r="G1003" s="4">
        <f t="shared" si="61"/>
        <v>-2.996082046554549E-3</v>
      </c>
      <c r="I1003" s="3">
        <v>44536</v>
      </c>
      <c r="J1003" s="1">
        <v>91.105000000000004</v>
      </c>
      <c r="K1003" s="4">
        <f t="shared" si="62"/>
        <v>1.4419329696024885E-2</v>
      </c>
      <c r="M1003" s="5">
        <v>44536</v>
      </c>
      <c r="N1003" s="2">
        <v>17196.7</v>
      </c>
      <c r="O1003" s="4">
        <f t="shared" si="63"/>
        <v>-1.1777618789022948E-2</v>
      </c>
    </row>
    <row r="1004" spans="1:15" x14ac:dyDescent="0.25">
      <c r="A1004" s="3">
        <v>44533</v>
      </c>
      <c r="B1004" s="1">
        <v>213.946</v>
      </c>
      <c r="C1004" s="4">
        <f t="shared" si="60"/>
        <v>-6.6533877490376758E-3</v>
      </c>
      <c r="E1004" s="3">
        <v>44533</v>
      </c>
      <c r="F1004" s="1">
        <v>86.78</v>
      </c>
      <c r="G1004" s="4">
        <f t="shared" si="61"/>
        <v>-2.4140705828255005E-3</v>
      </c>
      <c r="I1004" s="3">
        <v>44533</v>
      </c>
      <c r="J1004" s="1">
        <v>89.81</v>
      </c>
      <c r="K1004" s="4">
        <f t="shared" si="62"/>
        <v>-1.591023646205425E-2</v>
      </c>
      <c r="M1004" s="5">
        <v>44533</v>
      </c>
      <c r="N1004" s="2">
        <v>17401.650000000001</v>
      </c>
      <c r="O1004" s="4">
        <f t="shared" si="63"/>
        <v>1.3674571413592407E-2</v>
      </c>
    </row>
    <row r="1005" spans="1:15" x14ac:dyDescent="0.25">
      <c r="A1005" s="3">
        <v>44532</v>
      </c>
      <c r="B1005" s="1">
        <v>215.37899999999999</v>
      </c>
      <c r="C1005" s="4">
        <f t="shared" si="60"/>
        <v>-2.149710669329119E-3</v>
      </c>
      <c r="E1005" s="3">
        <v>44532</v>
      </c>
      <c r="F1005" s="1">
        <v>86.99</v>
      </c>
      <c r="G1005" s="4">
        <f t="shared" si="61"/>
        <v>-3.447483337164492E-4</v>
      </c>
      <c r="I1005" s="3">
        <v>44532</v>
      </c>
      <c r="J1005" s="1">
        <v>91.262</v>
      </c>
      <c r="K1005" s="4">
        <f t="shared" si="62"/>
        <v>-7.2124014141963233E-3</v>
      </c>
      <c r="M1005" s="5">
        <v>44532</v>
      </c>
      <c r="N1005" s="2">
        <v>17166.900000000001</v>
      </c>
      <c r="O1005" s="4">
        <f t="shared" si="63"/>
        <v>1.0816571670827724E-2</v>
      </c>
    </row>
    <row r="1006" spans="1:15" x14ac:dyDescent="0.25">
      <c r="A1006" s="3">
        <v>44531</v>
      </c>
      <c r="B1006" s="1">
        <v>215.84299999999999</v>
      </c>
      <c r="C1006" s="4">
        <f t="shared" si="60"/>
        <v>-1.4942220330672606E-3</v>
      </c>
      <c r="E1006" s="3">
        <v>44531</v>
      </c>
      <c r="F1006" s="1">
        <v>87.02</v>
      </c>
      <c r="G1006" s="4">
        <f t="shared" si="61"/>
        <v>1.035315771310108E-3</v>
      </c>
      <c r="I1006" s="3">
        <v>44531</v>
      </c>
      <c r="J1006" s="1">
        <v>91.924999999999997</v>
      </c>
      <c r="K1006" s="4">
        <f t="shared" si="62"/>
        <v>1.0486858449395786E-2</v>
      </c>
      <c r="M1006" s="5">
        <v>44531</v>
      </c>
      <c r="N1006" s="2">
        <v>16983.2</v>
      </c>
      <c r="O1006" s="4">
        <f t="shared" si="63"/>
        <v>-4.1485990049225929E-3</v>
      </c>
    </row>
    <row r="1007" spans="1:15" x14ac:dyDescent="0.25">
      <c r="A1007" s="3">
        <v>44530</v>
      </c>
      <c r="B1007" s="1">
        <v>216.166</v>
      </c>
      <c r="C1007" s="4">
        <f t="shared" si="60"/>
        <v>2.4671434003915582E-3</v>
      </c>
      <c r="E1007" s="3">
        <v>44530</v>
      </c>
      <c r="F1007" s="1">
        <v>86.93</v>
      </c>
      <c r="G1007" s="4">
        <f t="shared" si="61"/>
        <v>1.7558234812126816E-2</v>
      </c>
      <c r="I1007" s="3">
        <v>44530</v>
      </c>
      <c r="J1007" s="1">
        <v>90.971000000000004</v>
      </c>
      <c r="K1007" s="4">
        <f t="shared" si="62"/>
        <v>1.0418402141437078E-2</v>
      </c>
      <c r="M1007" s="5">
        <v>44530</v>
      </c>
      <c r="N1007" s="2">
        <v>17053.95</v>
      </c>
      <c r="O1007" s="4">
        <f t="shared" si="63"/>
        <v>1.6151341001793273E-3</v>
      </c>
    </row>
    <row r="1008" spans="1:15" x14ac:dyDescent="0.25">
      <c r="A1008" s="3">
        <v>44529</v>
      </c>
      <c r="B1008" s="1">
        <v>215.63399999999999</v>
      </c>
      <c r="C1008" s="4">
        <f t="shared" si="60"/>
        <v>1.6908998002507225E-3</v>
      </c>
      <c r="E1008" s="3">
        <v>44529</v>
      </c>
      <c r="F1008" s="1">
        <v>85.43</v>
      </c>
      <c r="G1008" s="4">
        <f t="shared" si="61"/>
        <v>1.3164136622391132E-2</v>
      </c>
      <c r="I1008" s="3">
        <v>44529</v>
      </c>
      <c r="J1008" s="1">
        <v>90.033000000000001</v>
      </c>
      <c r="K1008" s="4">
        <f t="shared" si="62"/>
        <v>-1.7768104032256371E-4</v>
      </c>
      <c r="M1008" s="5">
        <v>44529</v>
      </c>
      <c r="N1008" s="2">
        <v>17026.45</v>
      </c>
      <c r="O1008" s="4">
        <f t="shared" si="63"/>
        <v>-2.9071209637180129E-2</v>
      </c>
    </row>
    <row r="1009" spans="1:15" x14ac:dyDescent="0.25">
      <c r="A1009" s="3">
        <v>44526</v>
      </c>
      <c r="B1009" s="1">
        <v>215.27</v>
      </c>
      <c r="C1009" s="4">
        <f t="shared" si="60"/>
        <v>1.3894122079879612E-2</v>
      </c>
      <c r="E1009" s="3">
        <v>44526</v>
      </c>
      <c r="F1009" s="1">
        <v>84.32</v>
      </c>
      <c r="G1009" s="4">
        <f t="shared" si="61"/>
        <v>-1.414708289489075E-2</v>
      </c>
      <c r="I1009" s="3">
        <v>44526</v>
      </c>
      <c r="J1009" s="1">
        <v>90.049000000000007</v>
      </c>
      <c r="K1009" s="4">
        <f t="shared" si="62"/>
        <v>-2.149751227241925E-3</v>
      </c>
      <c r="M1009" s="5">
        <v>44526</v>
      </c>
      <c r="N1009" s="2">
        <v>17536.25</v>
      </c>
      <c r="O1009" s="4">
        <f t="shared" si="63"/>
        <v>6.959497675860904E-3</v>
      </c>
    </row>
    <row r="1010" spans="1:15" x14ac:dyDescent="0.25">
      <c r="A1010" s="3">
        <v>44525</v>
      </c>
      <c r="B1010" s="1">
        <v>212.32</v>
      </c>
      <c r="C1010" s="4">
        <f t="shared" si="60"/>
        <v>1.4487213791521736E-2</v>
      </c>
      <c r="E1010" s="3">
        <v>44525</v>
      </c>
      <c r="F1010" s="1">
        <v>85.53</v>
      </c>
      <c r="G1010" s="4">
        <f t="shared" si="61"/>
        <v>-5.4651162790697594E-3</v>
      </c>
      <c r="I1010" s="3">
        <v>44525</v>
      </c>
      <c r="J1010" s="1">
        <v>90.242999999999995</v>
      </c>
      <c r="K1010" s="4">
        <f t="shared" si="62"/>
        <v>-3.045832527557546E-2</v>
      </c>
      <c r="M1010" s="5">
        <v>44525</v>
      </c>
      <c r="N1010" s="2">
        <v>17415.05</v>
      </c>
      <c r="O1010" s="4">
        <f t="shared" si="63"/>
        <v>-5.0447485767010081E-3</v>
      </c>
    </row>
    <row r="1011" spans="1:15" x14ac:dyDescent="0.25">
      <c r="A1011" s="3">
        <v>44524</v>
      </c>
      <c r="B1011" s="1">
        <v>209.28800000000001</v>
      </c>
      <c r="C1011" s="4">
        <f t="shared" si="60"/>
        <v>-1.2554907076702371E-2</v>
      </c>
      <c r="E1011" s="3">
        <v>44524</v>
      </c>
      <c r="F1011" s="1">
        <v>86</v>
      </c>
      <c r="G1011" s="4">
        <f t="shared" si="61"/>
        <v>7.8518692136411161E-3</v>
      </c>
      <c r="I1011" s="3">
        <v>44524</v>
      </c>
      <c r="J1011" s="1">
        <v>93.078000000000003</v>
      </c>
      <c r="K1011" s="4">
        <f t="shared" si="62"/>
        <v>4.3918809552070392E-3</v>
      </c>
      <c r="M1011" s="5">
        <v>44524</v>
      </c>
      <c r="N1011" s="2">
        <v>17503.349999999999</v>
      </c>
      <c r="O1011" s="4">
        <f t="shared" si="63"/>
        <v>4.9837654414910393E-3</v>
      </c>
    </row>
    <row r="1012" spans="1:15" x14ac:dyDescent="0.25">
      <c r="A1012" s="3">
        <v>44523</v>
      </c>
      <c r="B1012" s="1">
        <v>211.94900000000001</v>
      </c>
      <c r="C1012" s="4">
        <f t="shared" si="60"/>
        <v>1.9997541673364427E-3</v>
      </c>
      <c r="E1012" s="3">
        <v>44523</v>
      </c>
      <c r="F1012" s="1">
        <v>85.33</v>
      </c>
      <c r="G1012" s="4">
        <f t="shared" si="61"/>
        <v>8.2712985938793171E-3</v>
      </c>
      <c r="I1012" s="3">
        <v>44523</v>
      </c>
      <c r="J1012" s="1">
        <v>92.671000000000006</v>
      </c>
      <c r="K1012" s="4">
        <f t="shared" si="62"/>
        <v>-3.7840104060284929E-3</v>
      </c>
      <c r="M1012" s="5">
        <v>44523</v>
      </c>
      <c r="N1012" s="2">
        <v>17416.55</v>
      </c>
      <c r="O1012" s="4">
        <f t="shared" si="63"/>
        <v>-1.9603372962262444E-2</v>
      </c>
    </row>
    <row r="1013" spans="1:15" x14ac:dyDescent="0.25">
      <c r="A1013" s="3">
        <v>44522</v>
      </c>
      <c r="B1013" s="1">
        <v>211.52600000000001</v>
      </c>
      <c r="C1013" s="4">
        <f t="shared" si="60"/>
        <v>8.3374249798597866E-3</v>
      </c>
      <c r="E1013" s="3">
        <v>44522</v>
      </c>
      <c r="F1013" s="1">
        <v>84.63</v>
      </c>
      <c r="G1013" s="4">
        <f t="shared" si="61"/>
        <v>4.7489018164548202E-3</v>
      </c>
      <c r="I1013" s="3">
        <v>44522</v>
      </c>
      <c r="J1013" s="1">
        <v>93.022999999999996</v>
      </c>
      <c r="K1013" s="4">
        <f t="shared" si="62"/>
        <v>6.535452666659447E-3</v>
      </c>
      <c r="M1013" s="5">
        <v>44522</v>
      </c>
      <c r="N1013" s="2">
        <v>17764.8</v>
      </c>
      <c r="O1013" s="4">
        <f t="shared" si="63"/>
        <v>-7.4782176309388104E-3</v>
      </c>
    </row>
    <row r="1014" spans="1:15" x14ac:dyDescent="0.25">
      <c r="A1014" s="3">
        <v>44518</v>
      </c>
      <c r="B1014" s="1">
        <v>209.77699999999999</v>
      </c>
      <c r="C1014" s="4">
        <f t="shared" si="60"/>
        <v>7.7777457508239056E-3</v>
      </c>
      <c r="E1014" s="3">
        <v>44518</v>
      </c>
      <c r="F1014" s="1">
        <v>84.23</v>
      </c>
      <c r="G1014" s="4">
        <f t="shared" si="61"/>
        <v>-9.8742212295754861E-3</v>
      </c>
      <c r="I1014" s="3">
        <v>44518</v>
      </c>
      <c r="J1014" s="1">
        <v>92.418999999999997</v>
      </c>
      <c r="K1014" s="4">
        <f t="shared" si="62"/>
        <v>-2.0518255524349605E-2</v>
      </c>
      <c r="M1014" s="5">
        <v>44518</v>
      </c>
      <c r="N1014" s="2">
        <v>17898.650000000001</v>
      </c>
      <c r="O1014" s="4">
        <f t="shared" si="63"/>
        <v>-5.5863593937507394E-3</v>
      </c>
    </row>
    <row r="1015" spans="1:15" x14ac:dyDescent="0.25">
      <c r="A1015" s="3">
        <v>44517</v>
      </c>
      <c r="B1015" s="1">
        <v>208.15799999999999</v>
      </c>
      <c r="C1015" s="4">
        <f t="shared" si="60"/>
        <v>1.0137381168443538E-2</v>
      </c>
      <c r="E1015" s="3">
        <v>44517</v>
      </c>
      <c r="F1015" s="1">
        <v>85.07</v>
      </c>
      <c r="G1015" s="4">
        <f t="shared" si="61"/>
        <v>-3.0651777575205208E-2</v>
      </c>
      <c r="I1015" s="3">
        <v>44517</v>
      </c>
      <c r="J1015" s="1">
        <v>94.355000000000004</v>
      </c>
      <c r="K1015" s="4">
        <f t="shared" si="62"/>
        <v>-1.0144562640313826E-2</v>
      </c>
      <c r="M1015" s="5">
        <v>44517</v>
      </c>
      <c r="N1015" s="2">
        <v>17999.2</v>
      </c>
      <c r="O1015" s="4">
        <f t="shared" si="63"/>
        <v>-6.0879816891180605E-3</v>
      </c>
    </row>
    <row r="1016" spans="1:15" x14ac:dyDescent="0.25">
      <c r="A1016" s="3">
        <v>44516</v>
      </c>
      <c r="B1016" s="1">
        <v>206.06899999999999</v>
      </c>
      <c r="C1016" s="4">
        <f t="shared" si="60"/>
        <v>-1.3669977264568756E-2</v>
      </c>
      <c r="E1016" s="3">
        <v>44516</v>
      </c>
      <c r="F1016" s="1">
        <v>87.76</v>
      </c>
      <c r="G1016" s="4">
        <f t="shared" si="61"/>
        <v>4.1189931350114062E-3</v>
      </c>
      <c r="I1016" s="3">
        <v>44516</v>
      </c>
      <c r="J1016" s="1">
        <v>95.322000000000003</v>
      </c>
      <c r="K1016" s="4">
        <f t="shared" si="62"/>
        <v>-5.5501074550878826E-3</v>
      </c>
      <c r="M1016" s="5">
        <v>44516</v>
      </c>
      <c r="N1016" s="2">
        <v>18109.45</v>
      </c>
      <c r="O1016" s="4">
        <f t="shared" si="63"/>
        <v>3.7010951374805146E-4</v>
      </c>
    </row>
    <row r="1017" spans="1:15" x14ac:dyDescent="0.25">
      <c r="A1017" s="3">
        <v>44515</v>
      </c>
      <c r="B1017" s="1">
        <v>208.92500000000001</v>
      </c>
      <c r="C1017" s="4">
        <f t="shared" si="60"/>
        <v>-3.0487946356063889E-2</v>
      </c>
      <c r="E1017" s="3">
        <v>44515</v>
      </c>
      <c r="F1017" s="1">
        <v>87.4</v>
      </c>
      <c r="G1017" s="4">
        <f t="shared" si="61"/>
        <v>-1.0286889930276599E-3</v>
      </c>
      <c r="I1017" s="3">
        <v>44515</v>
      </c>
      <c r="J1017" s="1">
        <v>95.853999999999999</v>
      </c>
      <c r="K1017" s="4">
        <f t="shared" si="62"/>
        <v>-5.5607428156447813E-3</v>
      </c>
      <c r="M1017" s="5">
        <v>44515</v>
      </c>
      <c r="N1017" s="2">
        <v>18102.75</v>
      </c>
      <c r="O1017" s="4">
        <f t="shared" si="63"/>
        <v>1.2820584549279479E-2</v>
      </c>
    </row>
    <row r="1018" spans="1:15" x14ac:dyDescent="0.25">
      <c r="A1018" s="3">
        <v>44512</v>
      </c>
      <c r="B1018" s="1">
        <v>215.495</v>
      </c>
      <c r="C1018" s="4">
        <f t="shared" si="60"/>
        <v>8.0081203837536474E-3</v>
      </c>
      <c r="E1018" s="3">
        <v>44512</v>
      </c>
      <c r="F1018" s="1">
        <v>87.49</v>
      </c>
      <c r="G1018" s="4">
        <f t="shared" si="61"/>
        <v>7.369027058146127E-3</v>
      </c>
      <c r="I1018" s="3">
        <v>44512</v>
      </c>
      <c r="J1018" s="1">
        <v>96.39</v>
      </c>
      <c r="K1018" s="4">
        <f t="shared" si="62"/>
        <v>-5.806357961968267E-4</v>
      </c>
      <c r="M1018" s="5">
        <v>44512</v>
      </c>
      <c r="N1018" s="2">
        <v>17873.599999999999</v>
      </c>
      <c r="O1018" s="4">
        <f t="shared" si="63"/>
        <v>-7.9701618453479339E-3</v>
      </c>
    </row>
    <row r="1019" spans="1:15" x14ac:dyDescent="0.25">
      <c r="A1019" s="3">
        <v>44511</v>
      </c>
      <c r="B1019" s="1">
        <v>213.78299999999999</v>
      </c>
      <c r="C1019" s="4">
        <f t="shared" si="60"/>
        <v>8.2391669339167972E-3</v>
      </c>
      <c r="E1019" s="3">
        <v>44511</v>
      </c>
      <c r="F1019" s="1">
        <v>86.85</v>
      </c>
      <c r="G1019" s="4">
        <f t="shared" si="61"/>
        <v>-2.1187873323565976E-2</v>
      </c>
      <c r="I1019" s="3">
        <v>44511</v>
      </c>
      <c r="J1019" s="1">
        <v>96.445999999999998</v>
      </c>
      <c r="K1019" s="4">
        <f t="shared" si="62"/>
        <v>8.9126932652676683E-3</v>
      </c>
      <c r="M1019" s="5">
        <v>44511</v>
      </c>
      <c r="N1019" s="2">
        <v>18017.2</v>
      </c>
      <c r="O1019" s="4">
        <f t="shared" si="63"/>
        <v>-1.4990925086938445E-3</v>
      </c>
    </row>
    <row r="1020" spans="1:15" x14ac:dyDescent="0.25">
      <c r="A1020" s="3">
        <v>44510</v>
      </c>
      <c r="B1020" s="1">
        <v>212.036</v>
      </c>
      <c r="C1020" s="4">
        <f t="shared" si="60"/>
        <v>1.3352959730837943E-2</v>
      </c>
      <c r="E1020" s="3">
        <v>44510</v>
      </c>
      <c r="F1020" s="1">
        <v>88.73</v>
      </c>
      <c r="G1020" s="4">
        <f t="shared" si="61"/>
        <v>-9.4887251618663848E-3</v>
      </c>
      <c r="I1020" s="3">
        <v>44510</v>
      </c>
      <c r="J1020" s="1">
        <v>95.593999999999994</v>
      </c>
      <c r="K1020" s="4">
        <f t="shared" si="62"/>
        <v>-7.969946659471594E-3</v>
      </c>
      <c r="M1020" s="5">
        <v>44510</v>
      </c>
      <c r="N1020" s="2">
        <v>18044.25</v>
      </c>
      <c r="O1020" s="4">
        <f t="shared" si="63"/>
        <v>-1.3448782553109329E-3</v>
      </c>
    </row>
    <row r="1021" spans="1:15" x14ac:dyDescent="0.25">
      <c r="A1021" s="3">
        <v>44509</v>
      </c>
      <c r="B1021" s="1">
        <v>209.24199999999999</v>
      </c>
      <c r="C1021" s="4">
        <f t="shared" si="60"/>
        <v>-2.4280831339852482E-2</v>
      </c>
      <c r="E1021" s="3">
        <v>44509</v>
      </c>
      <c r="F1021" s="1">
        <v>89.58</v>
      </c>
      <c r="G1021" s="4">
        <f t="shared" si="61"/>
        <v>-4.9983338887037432E-3</v>
      </c>
      <c r="I1021" s="3">
        <v>44509</v>
      </c>
      <c r="J1021" s="1">
        <v>96.361999999999995</v>
      </c>
      <c r="K1021" s="4">
        <f t="shared" si="62"/>
        <v>-2.5463729711826533E-3</v>
      </c>
      <c r="M1021" s="5">
        <v>44509</v>
      </c>
      <c r="N1021" s="2">
        <v>18068.55</v>
      </c>
      <c r="O1021" s="4">
        <f t="shared" si="63"/>
        <v>1.3424606824759211E-2</v>
      </c>
    </row>
    <row r="1022" spans="1:15" x14ac:dyDescent="0.25">
      <c r="A1022" s="3">
        <v>44508</v>
      </c>
      <c r="B1022" s="1">
        <v>214.44900000000001</v>
      </c>
      <c r="C1022" s="4">
        <f t="shared" si="60"/>
        <v>-1.3229095728037432E-2</v>
      </c>
      <c r="E1022" s="3">
        <v>44508</v>
      </c>
      <c r="F1022" s="1">
        <v>90.03</v>
      </c>
      <c r="G1022" s="4">
        <f t="shared" si="61"/>
        <v>-4.6434494195688458E-3</v>
      </c>
      <c r="I1022" s="3">
        <v>44508</v>
      </c>
      <c r="J1022" s="1">
        <v>96.608000000000004</v>
      </c>
      <c r="K1022" s="4">
        <f t="shared" si="62"/>
        <v>2.9379704126655248E-3</v>
      </c>
      <c r="M1022" s="5">
        <v>44508</v>
      </c>
      <c r="N1022" s="2">
        <v>17829.2</v>
      </c>
      <c r="O1022" s="4">
        <f t="shared" si="63"/>
        <v>-3.3400507016901892E-3</v>
      </c>
    </row>
    <row r="1023" spans="1:15" x14ac:dyDescent="0.25">
      <c r="A1023" s="3">
        <v>44503</v>
      </c>
      <c r="B1023" s="1">
        <v>217.32400000000001</v>
      </c>
      <c r="C1023" s="4">
        <f t="shared" si="60"/>
        <v>-2.9179665993760429E-3</v>
      </c>
      <c r="E1023" s="3">
        <v>44503</v>
      </c>
      <c r="F1023" s="1">
        <v>90.45</v>
      </c>
      <c r="G1023" s="4">
        <f t="shared" si="61"/>
        <v>-4.4203779423135359E-4</v>
      </c>
      <c r="I1023" s="3">
        <v>44503</v>
      </c>
      <c r="J1023" s="1">
        <v>96.325000000000003</v>
      </c>
      <c r="K1023" s="4">
        <f t="shared" si="62"/>
        <v>1.1116242940818255E-2</v>
      </c>
      <c r="M1023" s="5">
        <v>44503</v>
      </c>
      <c r="N1023" s="2">
        <v>17888.95</v>
      </c>
      <c r="O1023" s="4">
        <f t="shared" si="63"/>
        <v>-2.2699829611844136E-3</v>
      </c>
    </row>
    <row r="1024" spans="1:15" x14ac:dyDescent="0.25">
      <c r="A1024" s="3">
        <v>44502</v>
      </c>
      <c r="B1024" s="1">
        <v>217.96</v>
      </c>
      <c r="C1024" s="4">
        <f t="shared" si="60"/>
        <v>-3.3335009991356523E-3</v>
      </c>
      <c r="E1024" s="3">
        <v>44502</v>
      </c>
      <c r="F1024" s="1">
        <v>90.49</v>
      </c>
      <c r="G1024" s="4">
        <f t="shared" si="61"/>
        <v>8.1327985739749753E-3</v>
      </c>
      <c r="I1024" s="3">
        <v>44502</v>
      </c>
      <c r="J1024" s="1">
        <v>95.266000000000005</v>
      </c>
      <c r="K1024" s="4">
        <f t="shared" si="62"/>
        <v>-2.627804474596096E-3</v>
      </c>
      <c r="M1024" s="5">
        <v>44502</v>
      </c>
      <c r="N1024" s="2">
        <v>17929.650000000001</v>
      </c>
      <c r="O1024" s="4">
        <f t="shared" si="63"/>
        <v>1.4599655380227672E-2</v>
      </c>
    </row>
    <row r="1025" spans="1:15" x14ac:dyDescent="0.25">
      <c r="A1025" s="3">
        <v>44501</v>
      </c>
      <c r="B1025" s="1">
        <v>218.68899999999999</v>
      </c>
      <c r="C1025" s="4">
        <f t="shared" si="60"/>
        <v>-3.1906795691671874E-3</v>
      </c>
      <c r="E1025" s="3">
        <v>44501</v>
      </c>
      <c r="F1025" s="1">
        <v>89.76</v>
      </c>
      <c r="G1025" s="4">
        <f t="shared" si="61"/>
        <v>-7.8479053829998424E-3</v>
      </c>
      <c r="I1025" s="3">
        <v>44501</v>
      </c>
      <c r="J1025" s="1">
        <v>95.516999999999996</v>
      </c>
      <c r="K1025" s="4">
        <f t="shared" si="62"/>
        <v>-9.8315047431785096E-4</v>
      </c>
      <c r="M1025" s="5">
        <v>44501</v>
      </c>
      <c r="N1025" s="2">
        <v>17671.650000000001</v>
      </c>
      <c r="O1025" s="4">
        <f t="shared" si="63"/>
        <v>-1.0393537638774042E-2</v>
      </c>
    </row>
    <row r="1026" spans="1:15" x14ac:dyDescent="0.25">
      <c r="A1026" s="3">
        <v>44498</v>
      </c>
      <c r="B1026" s="1">
        <v>219.38900000000001</v>
      </c>
      <c r="C1026" s="4">
        <f t="shared" si="60"/>
        <v>6.6901909319923014E-3</v>
      </c>
      <c r="E1026" s="3">
        <v>44498</v>
      </c>
      <c r="F1026" s="1">
        <v>90.47</v>
      </c>
      <c r="G1026" s="4">
        <f t="shared" si="61"/>
        <v>-1.545083324136387E-3</v>
      </c>
      <c r="I1026" s="3">
        <v>44498</v>
      </c>
      <c r="J1026" s="1">
        <v>95.611000000000004</v>
      </c>
      <c r="K1026" s="4">
        <f t="shared" si="62"/>
        <v>1.4612560222425186E-2</v>
      </c>
      <c r="M1026" s="5">
        <v>44498</v>
      </c>
      <c r="N1026" s="2">
        <v>17857.25</v>
      </c>
      <c r="O1026" s="4">
        <f t="shared" si="63"/>
        <v>-1.9422380490858537E-2</v>
      </c>
    </row>
    <row r="1027" spans="1:15" x14ac:dyDescent="0.25">
      <c r="A1027" s="3">
        <v>44497</v>
      </c>
      <c r="B1027" s="1">
        <v>217.93100000000001</v>
      </c>
      <c r="C1027" s="4">
        <f t="shared" ref="C1027:C1090" si="64">(B1027/B1028)-1</f>
        <v>-5.2174151200050645E-3</v>
      </c>
      <c r="E1027" s="3">
        <v>44497</v>
      </c>
      <c r="F1027" s="1">
        <v>90.61</v>
      </c>
      <c r="G1027" s="4">
        <f t="shared" ref="G1027:G1090" si="65">(F1027/F1028)-1</f>
        <v>3.8776866829159928E-3</v>
      </c>
      <c r="I1027" s="3">
        <v>44497</v>
      </c>
      <c r="J1027" s="1">
        <v>94.233999999999995</v>
      </c>
      <c r="K1027" s="4">
        <f t="shared" ref="K1027:K1090" si="66">(J1027/J1028)-1</f>
        <v>-3.3632286995517457E-3</v>
      </c>
      <c r="M1027" s="5">
        <v>44497</v>
      </c>
      <c r="N1027" s="2">
        <v>18210.95</v>
      </c>
      <c r="O1027" s="4">
        <f t="shared" ref="O1027:O1090" si="67">(N1027/N1028)-1</f>
        <v>-3.1447745834337626E-3</v>
      </c>
    </row>
    <row r="1028" spans="1:15" x14ac:dyDescent="0.25">
      <c r="A1028" s="3">
        <v>44496</v>
      </c>
      <c r="B1028" s="1">
        <v>219.07400000000001</v>
      </c>
      <c r="C1028" s="4">
        <f t="shared" si="64"/>
        <v>-3.6960142364983462E-4</v>
      </c>
      <c r="E1028" s="3">
        <v>44496</v>
      </c>
      <c r="F1028" s="1">
        <v>90.26</v>
      </c>
      <c r="G1028" s="4">
        <f t="shared" si="65"/>
        <v>1.7931656704635257E-2</v>
      </c>
      <c r="I1028" s="3">
        <v>44496</v>
      </c>
      <c r="J1028" s="1">
        <v>94.552000000000007</v>
      </c>
      <c r="K1028" s="4">
        <f t="shared" si="66"/>
        <v>-1.8936053207715409E-2</v>
      </c>
      <c r="M1028" s="5">
        <v>44496</v>
      </c>
      <c r="N1028" s="2">
        <v>18268.400000000001</v>
      </c>
      <c r="O1028" s="4">
        <f t="shared" si="67"/>
        <v>7.8894810597283094E-3</v>
      </c>
    </row>
    <row r="1029" spans="1:15" x14ac:dyDescent="0.25">
      <c r="A1029" s="3">
        <v>44495</v>
      </c>
      <c r="B1029" s="1">
        <v>219.155</v>
      </c>
      <c r="C1029" s="4">
        <f t="shared" si="64"/>
        <v>4.7543073015523518E-3</v>
      </c>
      <c r="E1029" s="3">
        <v>44495</v>
      </c>
      <c r="F1029" s="1">
        <v>88.67</v>
      </c>
      <c r="G1029" s="4">
        <f t="shared" si="65"/>
        <v>-1.9135524538496096E-3</v>
      </c>
      <c r="I1029" s="3">
        <v>44495</v>
      </c>
      <c r="J1029" s="1">
        <v>96.376999999999995</v>
      </c>
      <c r="K1029" s="4">
        <f t="shared" si="66"/>
        <v>-1.0572248883177204E-3</v>
      </c>
      <c r="M1029" s="5">
        <v>44495</v>
      </c>
      <c r="N1029" s="2">
        <v>18125.400000000001</v>
      </c>
      <c r="O1029" s="4">
        <f t="shared" si="67"/>
        <v>5.7963334050969983E-4</v>
      </c>
    </row>
    <row r="1030" spans="1:15" x14ac:dyDescent="0.25">
      <c r="A1030" s="3">
        <v>44494</v>
      </c>
      <c r="B1030" s="1">
        <v>218.11799999999999</v>
      </c>
      <c r="C1030" s="4">
        <f t="shared" si="64"/>
        <v>2.026802628809321E-2</v>
      </c>
      <c r="E1030" s="3">
        <v>44494</v>
      </c>
      <c r="F1030" s="1">
        <v>88.84</v>
      </c>
      <c r="G1030" s="4">
        <f t="shared" si="65"/>
        <v>4.0687160940324762E-3</v>
      </c>
      <c r="I1030" s="3">
        <v>44494</v>
      </c>
      <c r="J1030" s="1">
        <v>96.478999999999999</v>
      </c>
      <c r="K1030" s="4">
        <f t="shared" si="66"/>
        <v>6.4363355657091059E-3</v>
      </c>
      <c r="M1030" s="5">
        <v>44494</v>
      </c>
      <c r="N1030" s="2">
        <v>18114.900000000001</v>
      </c>
      <c r="O1030" s="4">
        <f t="shared" si="67"/>
        <v>-3.4767109873967694E-3</v>
      </c>
    </row>
    <row r="1031" spans="1:15" x14ac:dyDescent="0.25">
      <c r="A1031" s="3">
        <v>44491</v>
      </c>
      <c r="B1031" s="1">
        <v>213.785</v>
      </c>
      <c r="C1031" s="4">
        <f t="shared" si="64"/>
        <v>-6.0163939761669338E-3</v>
      </c>
      <c r="E1031" s="3">
        <v>44491</v>
      </c>
      <c r="F1031" s="1">
        <v>88.48</v>
      </c>
      <c r="G1031" s="4">
        <f t="shared" si="65"/>
        <v>1.3052438745134065E-2</v>
      </c>
      <c r="I1031" s="3">
        <v>44491</v>
      </c>
      <c r="J1031" s="1">
        <v>95.861999999999995</v>
      </c>
      <c r="K1031" s="4">
        <f t="shared" si="66"/>
        <v>3.4543399070467995E-3</v>
      </c>
      <c r="M1031" s="5">
        <v>44491</v>
      </c>
      <c r="N1031" s="2">
        <v>18178.099999999999</v>
      </c>
      <c r="O1031" s="4">
        <f t="shared" si="67"/>
        <v>-4.8449081930955762E-3</v>
      </c>
    </row>
    <row r="1032" spans="1:15" x14ac:dyDescent="0.25">
      <c r="A1032" s="3">
        <v>44490</v>
      </c>
      <c r="B1032" s="1">
        <v>215.07900000000001</v>
      </c>
      <c r="C1032" s="4">
        <f t="shared" si="64"/>
        <v>1.2756038988557705E-2</v>
      </c>
      <c r="E1032" s="3">
        <v>44490</v>
      </c>
      <c r="F1032" s="1">
        <v>87.34</v>
      </c>
      <c r="G1032" s="4">
        <f t="shared" si="65"/>
        <v>-4.5589240939137854E-3</v>
      </c>
      <c r="I1032" s="3">
        <v>44490</v>
      </c>
      <c r="J1032" s="1">
        <v>95.531999999999996</v>
      </c>
      <c r="K1032" s="4">
        <f t="shared" si="66"/>
        <v>-3.3904670498764444E-3</v>
      </c>
      <c r="M1032" s="5">
        <v>44490</v>
      </c>
      <c r="N1032" s="2">
        <v>18266.599999999999</v>
      </c>
      <c r="O1032" s="4">
        <f t="shared" si="67"/>
        <v>-8.2606040040720252E-3</v>
      </c>
    </row>
    <row r="1033" spans="1:15" x14ac:dyDescent="0.25">
      <c r="A1033" s="3">
        <v>44489</v>
      </c>
      <c r="B1033" s="1">
        <v>212.37</v>
      </c>
      <c r="C1033" s="4">
        <f t="shared" si="64"/>
        <v>1.8404849135863932E-2</v>
      </c>
      <c r="E1033" s="3">
        <v>44489</v>
      </c>
      <c r="F1033" s="1">
        <v>87.74</v>
      </c>
      <c r="G1033" s="4">
        <f t="shared" si="65"/>
        <v>-2.0540299173922749E-2</v>
      </c>
      <c r="I1033" s="3">
        <v>44489</v>
      </c>
      <c r="J1033" s="1">
        <v>95.856999999999999</v>
      </c>
      <c r="K1033" s="4">
        <f t="shared" si="66"/>
        <v>-5.519301995040915E-3</v>
      </c>
      <c r="M1033" s="5">
        <v>44489</v>
      </c>
      <c r="N1033" s="2">
        <v>18418.75</v>
      </c>
      <c r="O1033" s="4">
        <f t="shared" si="67"/>
        <v>-3.1552655862272516E-3</v>
      </c>
    </row>
    <row r="1034" spans="1:15" x14ac:dyDescent="0.25">
      <c r="A1034" s="3">
        <v>44488</v>
      </c>
      <c r="B1034" s="1">
        <v>208.53200000000001</v>
      </c>
      <c r="C1034" s="4">
        <f t="shared" si="64"/>
        <v>1.272405133794674E-3</v>
      </c>
      <c r="E1034" s="3">
        <v>44488</v>
      </c>
      <c r="F1034" s="1">
        <v>89.58</v>
      </c>
      <c r="G1034" s="4">
        <f t="shared" si="65"/>
        <v>-1.7829284599955031E-3</v>
      </c>
      <c r="I1034" s="3">
        <v>44488</v>
      </c>
      <c r="J1034" s="1">
        <v>96.388999999999996</v>
      </c>
      <c r="K1034" s="4">
        <f t="shared" si="66"/>
        <v>-9.8715973292243797E-3</v>
      </c>
      <c r="M1034" s="5">
        <v>44488</v>
      </c>
      <c r="N1034" s="2">
        <v>18477.05</v>
      </c>
      <c r="O1034" s="4">
        <f t="shared" si="67"/>
        <v>7.5523964544634836E-3</v>
      </c>
    </row>
    <row r="1035" spans="1:15" x14ac:dyDescent="0.25">
      <c r="A1035" s="3">
        <v>44487</v>
      </c>
      <c r="B1035" s="1">
        <v>208.267</v>
      </c>
      <c r="C1035" s="4">
        <f t="shared" si="64"/>
        <v>-1.8358612758175408E-2</v>
      </c>
      <c r="E1035" s="3">
        <v>44487</v>
      </c>
      <c r="F1035" s="1">
        <v>89.74</v>
      </c>
      <c r="G1035" s="4">
        <f t="shared" si="65"/>
        <v>1.1154929577464667E-2</v>
      </c>
      <c r="I1035" s="3">
        <v>44487</v>
      </c>
      <c r="J1035" s="1">
        <v>97.35</v>
      </c>
      <c r="K1035" s="4">
        <f t="shared" si="66"/>
        <v>-7.1088355584566498E-3</v>
      </c>
      <c r="M1035" s="5">
        <v>44487</v>
      </c>
      <c r="N1035" s="2">
        <v>18338.55</v>
      </c>
      <c r="O1035" s="4">
        <f t="shared" si="67"/>
        <v>9.7347447244895413E-3</v>
      </c>
    </row>
    <row r="1036" spans="1:15" x14ac:dyDescent="0.25">
      <c r="A1036" s="3">
        <v>44483</v>
      </c>
      <c r="B1036" s="1">
        <v>212.16200000000001</v>
      </c>
      <c r="C1036" s="4">
        <f t="shared" si="64"/>
        <v>-1.2521889769709915E-3</v>
      </c>
      <c r="E1036" s="3">
        <v>44483</v>
      </c>
      <c r="F1036" s="1">
        <v>88.75</v>
      </c>
      <c r="G1036" s="4">
        <f t="shared" si="65"/>
        <v>9.0222172098797238E-4</v>
      </c>
      <c r="I1036" s="3">
        <v>44483</v>
      </c>
      <c r="J1036" s="1">
        <v>98.046999999999997</v>
      </c>
      <c r="K1036" s="4">
        <f t="shared" si="66"/>
        <v>6.4463810960901924E-3</v>
      </c>
      <c r="M1036" s="5">
        <v>44483</v>
      </c>
      <c r="N1036" s="2">
        <v>18161.75</v>
      </c>
      <c r="O1036" s="4">
        <f t="shared" si="67"/>
        <v>9.4375540172131345E-3</v>
      </c>
    </row>
    <row r="1037" spans="1:15" x14ac:dyDescent="0.25">
      <c r="A1037" s="3">
        <v>44482</v>
      </c>
      <c r="B1037" s="1">
        <v>212.428</v>
      </c>
      <c r="C1037" s="4">
        <f t="shared" si="64"/>
        <v>1.4765664932620659E-2</v>
      </c>
      <c r="E1037" s="3">
        <v>44482</v>
      </c>
      <c r="F1037" s="1">
        <v>88.67</v>
      </c>
      <c r="G1037" s="4">
        <f t="shared" si="65"/>
        <v>-5.3841839596187047E-3</v>
      </c>
      <c r="I1037" s="3">
        <v>44482</v>
      </c>
      <c r="J1037" s="1">
        <v>97.418999999999997</v>
      </c>
      <c r="K1037" s="4">
        <f t="shared" si="66"/>
        <v>9.2095721537346353E-3</v>
      </c>
      <c r="M1037" s="5">
        <v>44482</v>
      </c>
      <c r="N1037" s="2">
        <v>17991.95</v>
      </c>
      <c r="O1037" s="4">
        <f t="shared" si="67"/>
        <v>2.5632524330001516E-3</v>
      </c>
    </row>
    <row r="1038" spans="1:15" x14ac:dyDescent="0.25">
      <c r="A1038" s="3">
        <v>44481</v>
      </c>
      <c r="B1038" s="1">
        <v>209.33699999999999</v>
      </c>
      <c r="C1038" s="4">
        <f t="shared" si="64"/>
        <v>-4.7779330804119668E-3</v>
      </c>
      <c r="E1038" s="3">
        <v>44481</v>
      </c>
      <c r="F1038" s="1">
        <v>89.15</v>
      </c>
      <c r="G1038" s="4">
        <f t="shared" si="65"/>
        <v>-2.7964205816555232E-3</v>
      </c>
      <c r="I1038" s="3">
        <v>44481</v>
      </c>
      <c r="J1038" s="1">
        <v>96.53</v>
      </c>
      <c r="K1038" s="4">
        <f t="shared" si="66"/>
        <v>6.1706518793387399E-3</v>
      </c>
      <c r="M1038" s="5">
        <v>44481</v>
      </c>
      <c r="N1038" s="2">
        <v>17945.95</v>
      </c>
      <c r="O1038" s="4">
        <f t="shared" si="67"/>
        <v>2.8359560105504222E-3</v>
      </c>
    </row>
    <row r="1039" spans="1:15" x14ac:dyDescent="0.25">
      <c r="A1039" s="3">
        <v>44480</v>
      </c>
      <c r="B1039" s="1">
        <v>210.34200000000001</v>
      </c>
      <c r="C1039" s="4">
        <f t="shared" si="64"/>
        <v>-5.7243338548731426E-3</v>
      </c>
      <c r="E1039" s="3">
        <v>44480</v>
      </c>
      <c r="F1039" s="1">
        <v>89.4</v>
      </c>
      <c r="G1039" s="4">
        <f t="shared" si="65"/>
        <v>-8.9790488859327056E-3</v>
      </c>
      <c r="I1039" s="3">
        <v>44480</v>
      </c>
      <c r="J1039" s="1">
        <v>95.938000000000002</v>
      </c>
      <c r="K1039" s="4">
        <f t="shared" si="66"/>
        <v>8.3456779820156868E-4</v>
      </c>
      <c r="M1039" s="5">
        <v>44480</v>
      </c>
      <c r="N1039" s="2">
        <v>17895.2</v>
      </c>
      <c r="O1039" s="4">
        <f t="shared" si="67"/>
        <v>5.893644588217839E-3</v>
      </c>
    </row>
    <row r="1040" spans="1:15" x14ac:dyDescent="0.25">
      <c r="A1040" s="3">
        <v>44477</v>
      </c>
      <c r="B1040" s="1">
        <v>211.553</v>
      </c>
      <c r="C1040" s="4">
        <f t="shared" si="64"/>
        <v>-1.8777925086458369E-3</v>
      </c>
      <c r="E1040" s="3">
        <v>44477</v>
      </c>
      <c r="F1040" s="1">
        <v>90.21</v>
      </c>
      <c r="G1040" s="4">
        <f t="shared" si="65"/>
        <v>-8.4633985491318064E-3</v>
      </c>
      <c r="I1040" s="3">
        <v>44477</v>
      </c>
      <c r="J1040" s="1">
        <v>95.858000000000004</v>
      </c>
      <c r="K1040" s="4">
        <f t="shared" si="66"/>
        <v>4.4323361450202547E-3</v>
      </c>
      <c r="M1040" s="5">
        <v>44477</v>
      </c>
      <c r="N1040" s="2">
        <v>17790.349999999999</v>
      </c>
      <c r="O1040" s="4">
        <f t="shared" si="67"/>
        <v>8.1803241527824699E-3</v>
      </c>
    </row>
    <row r="1041" spans="1:15" x14ac:dyDescent="0.25">
      <c r="A1041" s="3">
        <v>44476</v>
      </c>
      <c r="B1041" s="1">
        <v>211.95099999999999</v>
      </c>
      <c r="C1041" s="4">
        <f t="shared" si="64"/>
        <v>-1.141335273649946E-2</v>
      </c>
      <c r="E1041" s="3">
        <v>44476</v>
      </c>
      <c r="F1041" s="1">
        <v>90.98</v>
      </c>
      <c r="G1041" s="4">
        <f t="shared" si="65"/>
        <v>1.0103253025424808E-2</v>
      </c>
      <c r="I1041" s="3">
        <v>44476</v>
      </c>
      <c r="J1041" s="1">
        <v>95.435000000000002</v>
      </c>
      <c r="K1041" s="4">
        <f t="shared" si="66"/>
        <v>5.7116963316576896E-3</v>
      </c>
      <c r="M1041" s="5">
        <v>44476</v>
      </c>
      <c r="N1041" s="2">
        <v>17646</v>
      </c>
      <c r="O1041" s="4">
        <f t="shared" si="67"/>
        <v>-9.8921014683850395E-3</v>
      </c>
    </row>
    <row r="1042" spans="1:15" x14ac:dyDescent="0.25">
      <c r="A1042" s="3">
        <v>44475</v>
      </c>
      <c r="B1042" s="1">
        <v>214.398</v>
      </c>
      <c r="C1042" s="4">
        <f t="shared" si="64"/>
        <v>-1.2418583655006588E-2</v>
      </c>
      <c r="E1042" s="3">
        <v>44475</v>
      </c>
      <c r="F1042" s="1">
        <v>90.07</v>
      </c>
      <c r="G1042" s="4">
        <f t="shared" si="65"/>
        <v>5.245535714285765E-3</v>
      </c>
      <c r="I1042" s="3">
        <v>44475</v>
      </c>
      <c r="J1042" s="1">
        <v>94.893000000000001</v>
      </c>
      <c r="K1042" s="4">
        <f t="shared" si="66"/>
        <v>1.1361335223336599E-2</v>
      </c>
      <c r="M1042" s="5">
        <v>44475</v>
      </c>
      <c r="N1042" s="2">
        <v>17822.3</v>
      </c>
      <c r="O1042" s="4">
        <f t="shared" si="67"/>
        <v>7.4076167596974773E-3</v>
      </c>
    </row>
    <row r="1043" spans="1:15" x14ac:dyDescent="0.25">
      <c r="A1043" s="3">
        <v>44474</v>
      </c>
      <c r="B1043" s="1">
        <v>217.09399999999999</v>
      </c>
      <c r="C1043" s="4">
        <f t="shared" si="64"/>
        <v>7.6071569469262634E-3</v>
      </c>
      <c r="E1043" s="3">
        <v>44474</v>
      </c>
      <c r="F1043" s="1">
        <v>89.6</v>
      </c>
      <c r="G1043" s="4">
        <f t="shared" si="65"/>
        <v>1.3918750707253569E-2</v>
      </c>
      <c r="I1043" s="3">
        <v>44474</v>
      </c>
      <c r="J1043" s="1">
        <v>93.826999999999998</v>
      </c>
      <c r="K1043" s="4">
        <f t="shared" si="66"/>
        <v>-9.9608530035559806E-3</v>
      </c>
      <c r="M1043" s="5">
        <v>44474</v>
      </c>
      <c r="N1043" s="2">
        <v>17691.25</v>
      </c>
      <c r="O1043" s="4">
        <f t="shared" si="67"/>
        <v>9.0805125470210246E-3</v>
      </c>
    </row>
    <row r="1044" spans="1:15" x14ac:dyDescent="0.25">
      <c r="A1044" s="3">
        <v>44473</v>
      </c>
      <c r="B1044" s="1">
        <v>215.45500000000001</v>
      </c>
      <c r="C1044" s="4">
        <f t="shared" si="64"/>
        <v>5.3802577670765128E-3</v>
      </c>
      <c r="E1044" s="3">
        <v>44473</v>
      </c>
      <c r="F1044" s="1">
        <v>88.37</v>
      </c>
      <c r="G1044" s="4">
        <f t="shared" si="65"/>
        <v>1.4732547597462453E-3</v>
      </c>
      <c r="I1044" s="3">
        <v>44473</v>
      </c>
      <c r="J1044" s="1">
        <v>94.771000000000001</v>
      </c>
      <c r="K1044" s="4">
        <f t="shared" si="66"/>
        <v>7.2056369761830386E-3</v>
      </c>
      <c r="M1044" s="5">
        <v>44473</v>
      </c>
      <c r="N1044" s="2">
        <v>17532.05</v>
      </c>
      <c r="O1044" s="4">
        <f t="shared" si="67"/>
        <v>-4.8870057298866509E-3</v>
      </c>
    </row>
    <row r="1045" spans="1:15" x14ac:dyDescent="0.25">
      <c r="A1045" s="3">
        <v>44470</v>
      </c>
      <c r="B1045" s="1">
        <v>214.30199999999999</v>
      </c>
      <c r="C1045" s="4">
        <f t="shared" si="64"/>
        <v>6.1646376103929867E-3</v>
      </c>
      <c r="E1045" s="3">
        <v>44470</v>
      </c>
      <c r="F1045" s="1">
        <v>88.24</v>
      </c>
      <c r="G1045" s="4">
        <f t="shared" si="65"/>
        <v>9.4954810662395417E-3</v>
      </c>
      <c r="I1045" s="3">
        <v>44470</v>
      </c>
      <c r="J1045" s="1">
        <v>94.093000000000004</v>
      </c>
      <c r="K1045" s="4">
        <f t="shared" si="66"/>
        <v>1.1176426337678569E-2</v>
      </c>
      <c r="M1045" s="5">
        <v>44470</v>
      </c>
      <c r="N1045" s="2">
        <v>17618.150000000001</v>
      </c>
      <c r="O1045" s="4">
        <f t="shared" si="67"/>
        <v>-5.2593541976024838E-3</v>
      </c>
    </row>
    <row r="1046" spans="1:15" x14ac:dyDescent="0.25">
      <c r="A1046" s="3">
        <v>44469</v>
      </c>
      <c r="B1046" s="1">
        <v>212.989</v>
      </c>
      <c r="C1046" s="4">
        <f t="shared" si="64"/>
        <v>4.4945197985248875E-3</v>
      </c>
      <c r="E1046" s="3">
        <v>44469</v>
      </c>
      <c r="F1046" s="1">
        <v>87.41</v>
      </c>
      <c r="G1046" s="4">
        <f t="shared" si="65"/>
        <v>2.1783994496675785E-3</v>
      </c>
      <c r="I1046" s="3">
        <v>44469</v>
      </c>
      <c r="J1046" s="1">
        <v>93.052999999999997</v>
      </c>
      <c r="K1046" s="4">
        <f t="shared" si="66"/>
        <v>-4.6104146164048787E-3</v>
      </c>
      <c r="M1046" s="5">
        <v>44469</v>
      </c>
      <c r="N1046" s="2">
        <v>17711.3</v>
      </c>
      <c r="O1046" s="4">
        <f t="shared" si="67"/>
        <v>-2.1015742086699651E-3</v>
      </c>
    </row>
    <row r="1047" spans="1:15" x14ac:dyDescent="0.25">
      <c r="A1047" s="3">
        <v>44468</v>
      </c>
      <c r="B1047" s="1">
        <v>212.036</v>
      </c>
      <c r="C1047" s="4">
        <f t="shared" si="64"/>
        <v>9.6038929811113061E-3</v>
      </c>
      <c r="E1047" s="3">
        <v>44468</v>
      </c>
      <c r="F1047" s="1">
        <v>87.22</v>
      </c>
      <c r="G1047" s="4">
        <f t="shared" si="65"/>
        <v>1.3243494423791802E-2</v>
      </c>
      <c r="I1047" s="3">
        <v>44468</v>
      </c>
      <c r="J1047" s="1">
        <v>93.483999999999995</v>
      </c>
      <c r="K1047" s="4">
        <f t="shared" si="66"/>
        <v>-2.539425108298965E-3</v>
      </c>
      <c r="M1047" s="5">
        <v>44468</v>
      </c>
      <c r="N1047" s="2">
        <v>17748.599999999999</v>
      </c>
      <c r="O1047" s="4">
        <f t="shared" si="67"/>
        <v>-5.9646823596619658E-3</v>
      </c>
    </row>
    <row r="1048" spans="1:15" x14ac:dyDescent="0.25">
      <c r="A1048" s="3">
        <v>44467</v>
      </c>
      <c r="B1048" s="1">
        <v>210.01900000000001</v>
      </c>
      <c r="C1048" s="4">
        <f t="shared" si="64"/>
        <v>5.6358395341933321E-3</v>
      </c>
      <c r="E1048" s="3">
        <v>44467</v>
      </c>
      <c r="F1048" s="1">
        <v>86.08</v>
      </c>
      <c r="G1048" s="4">
        <f t="shared" si="65"/>
        <v>-1.1256604640477841E-2</v>
      </c>
      <c r="I1048" s="3">
        <v>44467</v>
      </c>
      <c r="J1048" s="1">
        <v>93.721999999999994</v>
      </c>
      <c r="K1048" s="4">
        <f t="shared" si="66"/>
        <v>3.8021999207427104E-3</v>
      </c>
      <c r="M1048" s="5">
        <v>44467</v>
      </c>
      <c r="N1048" s="2">
        <v>17855.099999999999</v>
      </c>
      <c r="O1048" s="4">
        <f t="shared" si="67"/>
        <v>1.0642349830836118E-4</v>
      </c>
    </row>
    <row r="1049" spans="1:15" x14ac:dyDescent="0.25">
      <c r="A1049" s="3">
        <v>44466</v>
      </c>
      <c r="B1049" s="1">
        <v>208.84200000000001</v>
      </c>
      <c r="C1049" s="4">
        <f t="shared" si="64"/>
        <v>9.1179241864174365E-3</v>
      </c>
      <c r="E1049" s="3">
        <v>44466</v>
      </c>
      <c r="F1049" s="1">
        <v>87.06</v>
      </c>
      <c r="G1049" s="4">
        <f t="shared" si="65"/>
        <v>6.4739884393063551E-3</v>
      </c>
      <c r="I1049" s="3">
        <v>44466</v>
      </c>
      <c r="J1049" s="1">
        <v>93.367000000000004</v>
      </c>
      <c r="K1049" s="4">
        <f t="shared" si="66"/>
        <v>-6.6600704307766545E-3</v>
      </c>
      <c r="M1049" s="5">
        <v>44466</v>
      </c>
      <c r="N1049" s="2">
        <v>17853.2</v>
      </c>
      <c r="O1049" s="4">
        <f t="shared" si="67"/>
        <v>1.6972498940972525E-3</v>
      </c>
    </row>
    <row r="1050" spans="1:15" x14ac:dyDescent="0.25">
      <c r="A1050" s="3">
        <v>44463</v>
      </c>
      <c r="B1050" s="1">
        <v>206.95500000000001</v>
      </c>
      <c r="C1050" s="4">
        <f t="shared" si="64"/>
        <v>-7.0290759044235873E-3</v>
      </c>
      <c r="E1050" s="3">
        <v>44463</v>
      </c>
      <c r="F1050" s="1">
        <v>86.5</v>
      </c>
      <c r="G1050" s="4">
        <f t="shared" si="65"/>
        <v>9.4526782588399971E-3</v>
      </c>
      <c r="I1050" s="3">
        <v>44463</v>
      </c>
      <c r="J1050" s="1">
        <v>93.992999999999995</v>
      </c>
      <c r="K1050" s="4">
        <f t="shared" si="66"/>
        <v>2.175095160413143E-3</v>
      </c>
      <c r="M1050" s="5">
        <v>44463</v>
      </c>
      <c r="N1050" s="2">
        <v>17822.95</v>
      </c>
      <c r="O1050" s="4">
        <f t="shared" si="67"/>
        <v>1.574659550398505E-2</v>
      </c>
    </row>
    <row r="1051" spans="1:15" x14ac:dyDescent="0.25">
      <c r="A1051" s="3">
        <v>44462</v>
      </c>
      <c r="B1051" s="1">
        <v>208.42</v>
      </c>
      <c r="C1051" s="4">
        <f t="shared" si="64"/>
        <v>5.1555092572497241E-3</v>
      </c>
      <c r="E1051" s="3">
        <v>44462</v>
      </c>
      <c r="F1051" s="1">
        <v>85.69</v>
      </c>
      <c r="G1051" s="4">
        <f t="shared" si="65"/>
        <v>-2.2123893805309214E-3</v>
      </c>
      <c r="I1051" s="3">
        <v>44462</v>
      </c>
      <c r="J1051" s="1">
        <v>93.789000000000001</v>
      </c>
      <c r="K1051" s="4">
        <f t="shared" si="66"/>
        <v>-3.6238448994374561E-4</v>
      </c>
      <c r="M1051" s="5">
        <v>44462</v>
      </c>
      <c r="N1051" s="2">
        <v>17546.650000000001</v>
      </c>
      <c r="O1051" s="4">
        <f t="shared" si="67"/>
        <v>-8.7404623619169453E-4</v>
      </c>
    </row>
    <row r="1052" spans="1:15" x14ac:dyDescent="0.25">
      <c r="A1052" s="3">
        <v>44461</v>
      </c>
      <c r="B1052" s="1">
        <v>207.351</v>
      </c>
      <c r="C1052" s="4">
        <f t="shared" si="64"/>
        <v>7.003093599599941E-3</v>
      </c>
      <c r="E1052" s="3">
        <v>44461</v>
      </c>
      <c r="F1052" s="1">
        <v>85.88</v>
      </c>
      <c r="G1052" s="4">
        <f t="shared" si="65"/>
        <v>-8.1442699243750027E-4</v>
      </c>
      <c r="I1052" s="3">
        <v>44461</v>
      </c>
      <c r="J1052" s="1">
        <v>93.822999999999993</v>
      </c>
      <c r="K1052" s="4">
        <f t="shared" si="66"/>
        <v>1.4160172083923284E-2</v>
      </c>
      <c r="M1052" s="5">
        <v>44461</v>
      </c>
      <c r="N1052" s="2">
        <v>17562</v>
      </c>
      <c r="O1052" s="4">
        <f t="shared" si="67"/>
        <v>9.4901965292666368E-3</v>
      </c>
    </row>
    <row r="1053" spans="1:15" x14ac:dyDescent="0.25">
      <c r="A1053" s="3">
        <v>44460</v>
      </c>
      <c r="B1053" s="1">
        <v>205.90899999999999</v>
      </c>
      <c r="C1053" s="4">
        <f t="shared" si="64"/>
        <v>7.0469081083168739E-4</v>
      </c>
      <c r="E1053" s="3">
        <v>44460</v>
      </c>
      <c r="F1053" s="1">
        <v>85.95</v>
      </c>
      <c r="G1053" s="4">
        <f t="shared" si="65"/>
        <v>1.7482517482518833E-3</v>
      </c>
      <c r="I1053" s="3">
        <v>44460</v>
      </c>
      <c r="J1053" s="1">
        <v>92.513000000000005</v>
      </c>
      <c r="K1053" s="4">
        <f t="shared" si="66"/>
        <v>2.0471383388935838E-3</v>
      </c>
      <c r="M1053" s="5">
        <v>44460</v>
      </c>
      <c r="N1053" s="2">
        <v>17396.900000000001</v>
      </c>
      <c r="O1053" s="4">
        <f t="shared" si="67"/>
        <v>-1.0705055117528173E-2</v>
      </c>
    </row>
    <row r="1054" spans="1:15" x14ac:dyDescent="0.25">
      <c r="A1054" s="3">
        <v>44459</v>
      </c>
      <c r="B1054" s="1">
        <v>205.76400000000001</v>
      </c>
      <c r="C1054" s="4">
        <f t="shared" si="64"/>
        <v>1.9428821853773037E-3</v>
      </c>
      <c r="E1054" s="3">
        <v>44459</v>
      </c>
      <c r="F1054" s="1">
        <v>85.8</v>
      </c>
      <c r="G1054" s="4">
        <f t="shared" si="65"/>
        <v>-6.7145172493632277E-3</v>
      </c>
      <c r="I1054" s="3">
        <v>44459</v>
      </c>
      <c r="J1054" s="1">
        <v>92.323999999999998</v>
      </c>
      <c r="K1054" s="4">
        <f t="shared" si="66"/>
        <v>5.4780496836235315E-3</v>
      </c>
      <c r="M1054" s="5">
        <v>44459</v>
      </c>
      <c r="N1054" s="2">
        <v>17585.150000000001</v>
      </c>
      <c r="O1054" s="4">
        <f t="shared" si="67"/>
        <v>-2.5156697580758225E-3</v>
      </c>
    </row>
    <row r="1055" spans="1:15" x14ac:dyDescent="0.25">
      <c r="A1055" s="3">
        <v>44456</v>
      </c>
      <c r="B1055" s="1">
        <v>205.36500000000001</v>
      </c>
      <c r="C1055" s="4">
        <f t="shared" si="64"/>
        <v>-1.0895524566002512E-3</v>
      </c>
      <c r="E1055" s="3">
        <v>44456</v>
      </c>
      <c r="F1055" s="1">
        <v>86.38</v>
      </c>
      <c r="G1055" s="4">
        <f t="shared" si="65"/>
        <v>3.4742327735970413E-4</v>
      </c>
      <c r="I1055" s="3">
        <v>44456</v>
      </c>
      <c r="J1055" s="1">
        <v>91.820999999999998</v>
      </c>
      <c r="K1055" s="4">
        <f t="shared" si="66"/>
        <v>-1.4648123108621514E-2</v>
      </c>
      <c r="M1055" s="5">
        <v>44456</v>
      </c>
      <c r="N1055" s="2">
        <v>17629.5</v>
      </c>
      <c r="O1055" s="4">
        <f t="shared" si="67"/>
        <v>6.2815898900936418E-3</v>
      </c>
    </row>
    <row r="1056" spans="1:15" x14ac:dyDescent="0.25">
      <c r="A1056" s="3">
        <v>44455</v>
      </c>
      <c r="B1056" s="1">
        <v>205.589</v>
      </c>
      <c r="C1056" s="4">
        <f t="shared" si="64"/>
        <v>-6.278759522060251E-3</v>
      </c>
      <c r="E1056" s="3">
        <v>44455</v>
      </c>
      <c r="F1056" s="1">
        <v>86.35</v>
      </c>
      <c r="G1056" s="4">
        <f t="shared" si="65"/>
        <v>0</v>
      </c>
      <c r="I1056" s="3">
        <v>44455</v>
      </c>
      <c r="J1056" s="1">
        <v>93.186000000000007</v>
      </c>
      <c r="K1056" s="4">
        <f t="shared" si="66"/>
        <v>-8.2375478927201318E-3</v>
      </c>
      <c r="M1056" s="5">
        <v>44455</v>
      </c>
      <c r="N1056" s="2">
        <v>17519.45</v>
      </c>
      <c r="O1056" s="4">
        <f t="shared" si="67"/>
        <v>8.0235903337169123E-3</v>
      </c>
    </row>
    <row r="1057" spans="1:15" x14ac:dyDescent="0.25">
      <c r="A1057" s="3">
        <v>44454</v>
      </c>
      <c r="B1057" s="1">
        <v>206.88800000000001</v>
      </c>
      <c r="C1057" s="4">
        <f t="shared" si="64"/>
        <v>2.9668987182220885E-3</v>
      </c>
      <c r="E1057" s="3">
        <v>44454</v>
      </c>
      <c r="F1057" s="1">
        <v>86.35</v>
      </c>
      <c r="G1057" s="4">
        <f t="shared" si="65"/>
        <v>1.4450187969924588E-2</v>
      </c>
      <c r="I1057" s="3">
        <v>44454</v>
      </c>
      <c r="J1057" s="1">
        <v>93.96</v>
      </c>
      <c r="K1057" s="4">
        <f t="shared" si="66"/>
        <v>6.2219556859677283E-3</v>
      </c>
      <c r="M1057" s="5">
        <v>44454</v>
      </c>
      <c r="N1057" s="2">
        <v>17380</v>
      </c>
      <c r="O1057" s="4">
        <f t="shared" si="67"/>
        <v>1.4231963722897145E-3</v>
      </c>
    </row>
    <row r="1058" spans="1:15" x14ac:dyDescent="0.25">
      <c r="A1058" s="3">
        <v>44453</v>
      </c>
      <c r="B1058" s="1">
        <v>206.27600000000001</v>
      </c>
      <c r="C1058" s="4">
        <f t="shared" si="64"/>
        <v>-3.5842293906809264E-3</v>
      </c>
      <c r="E1058" s="3">
        <v>44453</v>
      </c>
      <c r="F1058" s="1">
        <v>85.12</v>
      </c>
      <c r="G1058" s="4">
        <f t="shared" si="65"/>
        <v>3.7735849056603765E-3</v>
      </c>
      <c r="I1058" s="3">
        <v>44453</v>
      </c>
      <c r="J1058" s="1">
        <v>93.379000000000005</v>
      </c>
      <c r="K1058" s="4">
        <f t="shared" si="66"/>
        <v>1.1799761620977289E-2</v>
      </c>
      <c r="M1058" s="5">
        <v>44453</v>
      </c>
      <c r="N1058" s="2">
        <v>17355.3</v>
      </c>
      <c r="O1058" s="4">
        <f t="shared" si="67"/>
        <v>-8.0314348633370169E-4</v>
      </c>
    </row>
    <row r="1059" spans="1:15" x14ac:dyDescent="0.25">
      <c r="A1059" s="3">
        <v>44452</v>
      </c>
      <c r="B1059" s="1">
        <v>207.018</v>
      </c>
      <c r="C1059" s="4">
        <f t="shared" si="64"/>
        <v>1.340813299458099E-2</v>
      </c>
      <c r="E1059" s="3">
        <v>44452</v>
      </c>
      <c r="F1059" s="1">
        <v>84.8</v>
      </c>
      <c r="G1059" s="4">
        <f t="shared" si="65"/>
        <v>6.1699098243948036E-3</v>
      </c>
      <c r="I1059" s="3">
        <v>44452</v>
      </c>
      <c r="J1059" s="1">
        <v>92.29</v>
      </c>
      <c r="K1059" s="4">
        <f t="shared" si="66"/>
        <v>8.8929377060575909E-4</v>
      </c>
      <c r="M1059" s="5">
        <v>44452</v>
      </c>
      <c r="N1059" s="2">
        <v>17369.25</v>
      </c>
      <c r="O1059" s="4">
        <f t="shared" si="67"/>
        <v>9.0759789091543475E-4</v>
      </c>
    </row>
    <row r="1060" spans="1:15" x14ac:dyDescent="0.25">
      <c r="A1060" s="3">
        <v>44448</v>
      </c>
      <c r="B1060" s="1">
        <v>204.279</v>
      </c>
      <c r="C1060" s="4">
        <f t="shared" si="64"/>
        <v>1.6229627159862758E-3</v>
      </c>
      <c r="E1060" s="3">
        <v>44448</v>
      </c>
      <c r="F1060" s="1">
        <v>84.28</v>
      </c>
      <c r="G1060" s="4">
        <f t="shared" si="65"/>
        <v>-1.4845119812974872E-2</v>
      </c>
      <c r="I1060" s="3">
        <v>44448</v>
      </c>
      <c r="J1060" s="1">
        <v>92.207999999999998</v>
      </c>
      <c r="K1060" s="4">
        <f t="shared" si="66"/>
        <v>-1.0292189852983968E-3</v>
      </c>
      <c r="M1060" s="5">
        <v>44448</v>
      </c>
      <c r="N1060" s="2">
        <v>17353.5</v>
      </c>
      <c r="O1060" s="4">
        <f t="shared" si="67"/>
        <v>-4.9533178590144278E-4</v>
      </c>
    </row>
    <row r="1061" spans="1:15" x14ac:dyDescent="0.25">
      <c r="A1061" s="3">
        <v>44447</v>
      </c>
      <c r="B1061" s="1">
        <v>203.94800000000001</v>
      </c>
      <c r="C1061" s="4">
        <f t="shared" si="64"/>
        <v>6.5889158148786375E-3</v>
      </c>
      <c r="E1061" s="3">
        <v>44447</v>
      </c>
      <c r="F1061" s="1">
        <v>85.55</v>
      </c>
      <c r="G1061" s="4">
        <f t="shared" si="65"/>
        <v>-5.5794490294084342E-3</v>
      </c>
      <c r="I1061" s="3">
        <v>44447</v>
      </c>
      <c r="J1061" s="1">
        <v>92.302999999999997</v>
      </c>
      <c r="K1061" s="4">
        <f t="shared" si="66"/>
        <v>1.1388533373826171E-3</v>
      </c>
      <c r="M1061" s="5">
        <v>44447</v>
      </c>
      <c r="N1061" s="2">
        <v>17362.099999999999</v>
      </c>
      <c r="O1061" s="4">
        <f t="shared" si="67"/>
        <v>-9.0345153011317514E-4</v>
      </c>
    </row>
    <row r="1062" spans="1:15" x14ac:dyDescent="0.25">
      <c r="A1062" s="3">
        <v>44446</v>
      </c>
      <c r="B1062" s="1">
        <v>202.613</v>
      </c>
      <c r="C1062" s="4">
        <f t="shared" si="64"/>
        <v>-8.0632527171251578E-3</v>
      </c>
      <c r="E1062" s="3">
        <v>44446</v>
      </c>
      <c r="F1062" s="1">
        <v>86.03</v>
      </c>
      <c r="G1062" s="4">
        <f t="shared" si="65"/>
        <v>2.4469820554651189E-3</v>
      </c>
      <c r="I1062" s="3">
        <v>44446</v>
      </c>
      <c r="J1062" s="1">
        <v>92.197999999999993</v>
      </c>
      <c r="K1062" s="4">
        <f t="shared" si="66"/>
        <v>1.1727657726137153E-3</v>
      </c>
      <c r="M1062" s="5">
        <v>44446</v>
      </c>
      <c r="N1062" s="2">
        <v>17377.8</v>
      </c>
      <c r="O1062" s="4">
        <f t="shared" si="67"/>
        <v>3.1286799510494845E-3</v>
      </c>
    </row>
    <row r="1063" spans="1:15" x14ac:dyDescent="0.25">
      <c r="A1063" s="3">
        <v>44445</v>
      </c>
      <c r="B1063" s="1">
        <v>204.26</v>
      </c>
      <c r="C1063" s="4">
        <f t="shared" si="64"/>
        <v>-4.8670216653106113E-3</v>
      </c>
      <c r="E1063" s="3">
        <v>44445</v>
      </c>
      <c r="F1063" s="1">
        <v>85.82</v>
      </c>
      <c r="G1063" s="4">
        <f t="shared" si="65"/>
        <v>1.1551155115511413E-2</v>
      </c>
      <c r="I1063" s="3">
        <v>44445</v>
      </c>
      <c r="J1063" s="1">
        <v>92.09</v>
      </c>
      <c r="K1063" s="4">
        <f t="shared" si="66"/>
        <v>-2.177893835801914E-3</v>
      </c>
      <c r="M1063" s="5">
        <v>44445</v>
      </c>
      <c r="N1063" s="2">
        <v>17323.599999999999</v>
      </c>
      <c r="O1063" s="4">
        <f t="shared" si="67"/>
        <v>5.1902762828452964E-3</v>
      </c>
    </row>
    <row r="1064" spans="1:15" x14ac:dyDescent="0.25">
      <c r="A1064" s="3">
        <v>44442</v>
      </c>
      <c r="B1064" s="1">
        <v>205.25899999999999</v>
      </c>
      <c r="C1064" s="4">
        <f t="shared" si="64"/>
        <v>8.04435691799954E-3</v>
      </c>
      <c r="E1064" s="3">
        <v>44442</v>
      </c>
      <c r="F1064" s="1">
        <v>84.84</v>
      </c>
      <c r="G1064" s="4">
        <f t="shared" si="65"/>
        <v>4.3802533443826341E-3</v>
      </c>
      <c r="I1064" s="3">
        <v>44442</v>
      </c>
      <c r="J1064" s="1">
        <v>92.290999999999997</v>
      </c>
      <c r="K1064" s="4">
        <f t="shared" si="66"/>
        <v>1.6714240750186349E-3</v>
      </c>
      <c r="M1064" s="5">
        <v>44442</v>
      </c>
      <c r="N1064" s="2">
        <v>17234.150000000001</v>
      </c>
      <c r="O1064" s="4">
        <f t="shared" si="67"/>
        <v>9.2467608520607758E-3</v>
      </c>
    </row>
    <row r="1065" spans="1:15" x14ac:dyDescent="0.25">
      <c r="A1065" s="3">
        <v>44441</v>
      </c>
      <c r="B1065" s="1">
        <v>203.62100000000001</v>
      </c>
      <c r="C1065" s="4">
        <f t="shared" si="64"/>
        <v>6.1519152468672011E-3</v>
      </c>
      <c r="E1065" s="3">
        <v>44441</v>
      </c>
      <c r="F1065" s="1">
        <v>84.47</v>
      </c>
      <c r="G1065" s="4">
        <f t="shared" si="65"/>
        <v>-1.8905825357438122E-3</v>
      </c>
      <c r="I1065" s="3">
        <v>44441</v>
      </c>
      <c r="J1065" s="1">
        <v>92.137</v>
      </c>
      <c r="K1065" s="4">
        <f t="shared" si="66"/>
        <v>4.502638349832111E-3</v>
      </c>
      <c r="M1065" s="5">
        <v>44441</v>
      </c>
      <c r="N1065" s="2">
        <v>17076.25</v>
      </c>
      <c r="O1065" s="4">
        <f t="shared" si="67"/>
        <v>-3.2657802267076486E-3</v>
      </c>
    </row>
    <row r="1066" spans="1:15" x14ac:dyDescent="0.25">
      <c r="A1066" s="3">
        <v>44440</v>
      </c>
      <c r="B1066" s="1">
        <v>202.376</v>
      </c>
      <c r="C1066" s="4">
        <f t="shared" si="64"/>
        <v>7.2566917847081136E-3</v>
      </c>
      <c r="E1066" s="3">
        <v>44440</v>
      </c>
      <c r="F1066" s="1">
        <v>84.63</v>
      </c>
      <c r="G1066" s="4">
        <f t="shared" si="65"/>
        <v>1.1817537225233821E-4</v>
      </c>
      <c r="I1066" s="3">
        <v>44440</v>
      </c>
      <c r="J1066" s="1">
        <v>91.724000000000004</v>
      </c>
      <c r="K1066" s="4">
        <f t="shared" si="66"/>
        <v>1.0009359687276342E-2</v>
      </c>
      <c r="M1066" s="5">
        <v>44440</v>
      </c>
      <c r="N1066" s="2">
        <v>17132.2</v>
      </c>
      <c r="O1066" s="4">
        <f t="shared" si="67"/>
        <v>1.1880539009689439E-2</v>
      </c>
    </row>
    <row r="1067" spans="1:15" x14ac:dyDescent="0.25">
      <c r="A1067" s="3">
        <v>44439</v>
      </c>
      <c r="B1067" s="1">
        <v>200.91800000000001</v>
      </c>
      <c r="C1067" s="4">
        <f t="shared" si="64"/>
        <v>2.1447667690834837E-3</v>
      </c>
      <c r="E1067" s="3">
        <v>44439</v>
      </c>
      <c r="F1067" s="1">
        <v>84.62</v>
      </c>
      <c r="G1067" s="4">
        <f t="shared" si="65"/>
        <v>1.8943878759176691E-3</v>
      </c>
      <c r="I1067" s="3">
        <v>44439</v>
      </c>
      <c r="J1067" s="1">
        <v>90.814999999999998</v>
      </c>
      <c r="K1067" s="4">
        <f t="shared" si="66"/>
        <v>-4.4043647254521368E-5</v>
      </c>
      <c r="M1067" s="5">
        <v>44439</v>
      </c>
      <c r="N1067" s="2">
        <v>16931.05</v>
      </c>
      <c r="O1067" s="4">
        <f t="shared" si="67"/>
        <v>1.3519742355673658E-2</v>
      </c>
    </row>
    <row r="1068" spans="1:15" x14ac:dyDescent="0.25">
      <c r="A1068" s="3">
        <v>44438</v>
      </c>
      <c r="B1068" s="1">
        <v>200.488</v>
      </c>
      <c r="C1068" s="4">
        <f t="shared" si="64"/>
        <v>2.0091360714891149E-3</v>
      </c>
      <c r="E1068" s="3">
        <v>44438</v>
      </c>
      <c r="F1068" s="1">
        <v>84.46</v>
      </c>
      <c r="G1068" s="4">
        <f t="shared" si="65"/>
        <v>-3.656954111124211E-3</v>
      </c>
      <c r="I1068" s="3">
        <v>44438</v>
      </c>
      <c r="J1068" s="1">
        <v>90.819000000000003</v>
      </c>
      <c r="K1068" s="4">
        <f t="shared" si="66"/>
        <v>8.3381445130346066E-3</v>
      </c>
      <c r="M1068" s="5">
        <v>44438</v>
      </c>
      <c r="N1068" s="2">
        <v>16705.2</v>
      </c>
      <c r="O1068" s="4">
        <f t="shared" si="67"/>
        <v>4.1053321231718787E-3</v>
      </c>
    </row>
    <row r="1069" spans="1:15" x14ac:dyDescent="0.25">
      <c r="A1069" s="3">
        <v>44435</v>
      </c>
      <c r="B1069" s="1">
        <v>200.08600000000001</v>
      </c>
      <c r="C1069" s="4">
        <f t="shared" si="64"/>
        <v>7.0310887869988736E-3</v>
      </c>
      <c r="E1069" s="3">
        <v>44435</v>
      </c>
      <c r="F1069" s="1">
        <v>84.77</v>
      </c>
      <c r="G1069" s="4">
        <f t="shared" si="65"/>
        <v>1.0628247520074741E-3</v>
      </c>
      <c r="I1069" s="3">
        <v>44435</v>
      </c>
      <c r="J1069" s="1">
        <v>90.067999999999998</v>
      </c>
      <c r="K1069" s="4">
        <f t="shared" si="66"/>
        <v>1.5296862846772008E-2</v>
      </c>
      <c r="M1069" s="5">
        <v>44435</v>
      </c>
      <c r="N1069" s="2">
        <v>16636.900000000001</v>
      </c>
      <c r="O1069" s="4">
        <f t="shared" si="67"/>
        <v>1.3525983414131026E-4</v>
      </c>
    </row>
    <row r="1070" spans="1:15" x14ac:dyDescent="0.25">
      <c r="A1070" s="3">
        <v>44434</v>
      </c>
      <c r="B1070" s="1">
        <v>198.68899999999999</v>
      </c>
      <c r="C1070" s="4">
        <f t="shared" si="64"/>
        <v>1.6787997338119087E-3</v>
      </c>
      <c r="E1070" s="3">
        <v>44434</v>
      </c>
      <c r="F1070" s="1">
        <v>84.68</v>
      </c>
      <c r="G1070" s="4">
        <f t="shared" si="65"/>
        <v>4.5077105575326293E-3</v>
      </c>
      <c r="I1070" s="3">
        <v>44434</v>
      </c>
      <c r="J1070" s="1">
        <v>88.710999999999999</v>
      </c>
      <c r="K1070" s="4">
        <f t="shared" si="66"/>
        <v>6.2842428848530751E-3</v>
      </c>
      <c r="M1070" s="5">
        <v>44434</v>
      </c>
      <c r="N1070" s="2">
        <v>16634.650000000001</v>
      </c>
      <c r="O1070" s="4">
        <f t="shared" si="67"/>
        <v>6.0452582317793713E-4</v>
      </c>
    </row>
    <row r="1071" spans="1:15" x14ac:dyDescent="0.25">
      <c r="A1071" s="3">
        <v>44433</v>
      </c>
      <c r="B1071" s="1">
        <v>198.35599999999999</v>
      </c>
      <c r="C1071" s="4">
        <f t="shared" si="64"/>
        <v>4.1308089500859957E-3</v>
      </c>
      <c r="E1071" s="3">
        <v>44433</v>
      </c>
      <c r="F1071" s="1">
        <v>84.3</v>
      </c>
      <c r="G1071" s="4">
        <f t="shared" si="65"/>
        <v>5.7265569076592193E-3</v>
      </c>
      <c r="I1071" s="3">
        <v>44433</v>
      </c>
      <c r="J1071" s="1">
        <v>88.156999999999996</v>
      </c>
      <c r="K1071" s="4">
        <f t="shared" si="66"/>
        <v>-4.5371536166793902E-5</v>
      </c>
      <c r="M1071" s="5">
        <v>44433</v>
      </c>
      <c r="N1071" s="2">
        <v>16624.599999999999</v>
      </c>
      <c r="O1071" s="4">
        <f t="shared" si="67"/>
        <v>7.7683380363653409E-3</v>
      </c>
    </row>
    <row r="1072" spans="1:15" x14ac:dyDescent="0.25">
      <c r="A1072" s="3">
        <v>44432</v>
      </c>
      <c r="B1072" s="1">
        <v>197.54</v>
      </c>
      <c r="C1072" s="4">
        <f t="shared" si="64"/>
        <v>3.3471995774096985E-3</v>
      </c>
      <c r="E1072" s="3">
        <v>44432</v>
      </c>
      <c r="F1072" s="1">
        <v>83.82</v>
      </c>
      <c r="G1072" s="4">
        <f t="shared" si="65"/>
        <v>2.3866348448686736E-4</v>
      </c>
      <c r="I1072" s="3">
        <v>44432</v>
      </c>
      <c r="J1072" s="1">
        <v>88.161000000000001</v>
      </c>
      <c r="K1072" s="4">
        <f t="shared" si="66"/>
        <v>-8.0469670867711063E-4</v>
      </c>
      <c r="M1072" s="5">
        <v>44432</v>
      </c>
      <c r="N1072" s="2">
        <v>16496.45</v>
      </c>
      <c r="O1072" s="4">
        <f t="shared" si="67"/>
        <v>2.7932281693565653E-3</v>
      </c>
    </row>
    <row r="1073" spans="1:15" x14ac:dyDescent="0.25">
      <c r="A1073" s="3">
        <v>44431</v>
      </c>
      <c r="B1073" s="1">
        <v>196.881</v>
      </c>
      <c r="C1073" s="4">
        <f t="shared" si="64"/>
        <v>8.9476516257975813E-3</v>
      </c>
      <c r="E1073" s="3">
        <v>44431</v>
      </c>
      <c r="F1073" s="1">
        <v>83.8</v>
      </c>
      <c r="G1073" s="4">
        <f t="shared" si="65"/>
        <v>9.2737564735636546E-3</v>
      </c>
      <c r="I1073" s="3">
        <v>44431</v>
      </c>
      <c r="J1073" s="1">
        <v>88.231999999999999</v>
      </c>
      <c r="K1073" s="4">
        <f t="shared" si="66"/>
        <v>9.2769471866027686E-3</v>
      </c>
      <c r="M1073" s="5">
        <v>44431</v>
      </c>
      <c r="N1073" s="2">
        <v>16450.5</v>
      </c>
      <c r="O1073" s="4">
        <f t="shared" si="67"/>
        <v>-7.1429218080916179E-3</v>
      </c>
    </row>
    <row r="1074" spans="1:15" x14ac:dyDescent="0.25">
      <c r="A1074" s="3">
        <v>44428</v>
      </c>
      <c r="B1074" s="1">
        <v>195.13499999999999</v>
      </c>
      <c r="C1074" s="4">
        <f t="shared" si="64"/>
        <v>2.2342064714946375E-3</v>
      </c>
      <c r="E1074" s="3">
        <v>44428</v>
      </c>
      <c r="F1074" s="1">
        <v>83.03</v>
      </c>
      <c r="G1074" s="4">
        <f t="shared" si="65"/>
        <v>1.4788560254216598E-2</v>
      </c>
      <c r="I1074" s="3">
        <v>44428</v>
      </c>
      <c r="J1074" s="1">
        <v>87.421000000000006</v>
      </c>
      <c r="K1074" s="4">
        <f t="shared" si="66"/>
        <v>-3.7734123081833992E-4</v>
      </c>
      <c r="M1074" s="5">
        <v>44428</v>
      </c>
      <c r="N1074" s="2">
        <v>16568.849999999999</v>
      </c>
      <c r="O1074" s="4">
        <f t="shared" si="67"/>
        <v>-2.7536022534397908E-3</v>
      </c>
    </row>
    <row r="1075" spans="1:15" x14ac:dyDescent="0.25">
      <c r="A1075" s="3">
        <v>44426</v>
      </c>
      <c r="B1075" s="1">
        <v>194.7</v>
      </c>
      <c r="C1075" s="4">
        <f t="shared" si="64"/>
        <v>9.4673206341964189E-3</v>
      </c>
      <c r="E1075" s="3">
        <v>44426</v>
      </c>
      <c r="F1075" s="1">
        <v>81.819999999999993</v>
      </c>
      <c r="G1075" s="4">
        <f t="shared" si="65"/>
        <v>6.5198671423296606E-3</v>
      </c>
      <c r="I1075" s="3">
        <v>44426</v>
      </c>
      <c r="J1075" s="1">
        <v>87.453999999999994</v>
      </c>
      <c r="K1075" s="4">
        <f t="shared" si="66"/>
        <v>-1.4391813458655922E-2</v>
      </c>
      <c r="M1075" s="5">
        <v>44426</v>
      </c>
      <c r="N1075" s="2">
        <v>16614.599999999999</v>
      </c>
      <c r="O1075" s="4">
        <f t="shared" si="67"/>
        <v>3.1123494766964743E-3</v>
      </c>
    </row>
    <row r="1076" spans="1:15" x14ac:dyDescent="0.25">
      <c r="A1076" s="3">
        <v>44425</v>
      </c>
      <c r="B1076" s="1">
        <v>192.874</v>
      </c>
      <c r="C1076" s="4">
        <f t="shared" si="64"/>
        <v>1.6442341136418737E-2</v>
      </c>
      <c r="E1076" s="3">
        <v>44425</v>
      </c>
      <c r="F1076" s="1">
        <v>81.290000000000006</v>
      </c>
      <c r="G1076" s="4">
        <f t="shared" si="65"/>
        <v>8.6185668554561445E-4</v>
      </c>
      <c r="I1076" s="3">
        <v>44425</v>
      </c>
      <c r="J1076" s="1">
        <v>88.730999999999995</v>
      </c>
      <c r="K1076" s="4">
        <f t="shared" si="66"/>
        <v>-7.5452149823207471E-4</v>
      </c>
      <c r="M1076" s="5">
        <v>44425</v>
      </c>
      <c r="N1076" s="2">
        <v>16563.05</v>
      </c>
      <c r="O1076" s="4">
        <f t="shared" si="67"/>
        <v>2.0539533307923907E-3</v>
      </c>
    </row>
    <row r="1077" spans="1:15" x14ac:dyDescent="0.25">
      <c r="A1077" s="3">
        <v>44424</v>
      </c>
      <c r="B1077" s="1">
        <v>189.75399999999999</v>
      </c>
      <c r="C1077" s="4">
        <f t="shared" si="64"/>
        <v>8.4875928081336038E-3</v>
      </c>
      <c r="E1077" s="3">
        <v>44424</v>
      </c>
      <c r="F1077" s="1">
        <v>81.22</v>
      </c>
      <c r="G1077" s="4">
        <f t="shared" si="65"/>
        <v>6.1599112972765546E-4</v>
      </c>
      <c r="I1077" s="3">
        <v>44424</v>
      </c>
      <c r="J1077" s="1">
        <v>88.798000000000002</v>
      </c>
      <c r="K1077" s="4">
        <f t="shared" si="66"/>
        <v>2.7667046853296906E-3</v>
      </c>
      <c r="M1077" s="5">
        <v>44424</v>
      </c>
      <c r="N1077" s="2">
        <v>16529.099999999999</v>
      </c>
      <c r="O1077" s="4">
        <f t="shared" si="67"/>
        <v>1.006453032191823E-2</v>
      </c>
    </row>
    <row r="1078" spans="1:15" x14ac:dyDescent="0.25">
      <c r="A1078" s="3">
        <v>44421</v>
      </c>
      <c r="B1078" s="1">
        <v>188.15700000000001</v>
      </c>
      <c r="C1078" s="4">
        <f t="shared" si="64"/>
        <v>1.6478317723223057E-4</v>
      </c>
      <c r="E1078" s="3">
        <v>44421</v>
      </c>
      <c r="F1078" s="1">
        <v>81.17</v>
      </c>
      <c r="G1078" s="4">
        <f t="shared" si="65"/>
        <v>1.1968582471013622E-2</v>
      </c>
      <c r="I1078" s="3">
        <v>44421</v>
      </c>
      <c r="J1078" s="1">
        <v>88.552999999999997</v>
      </c>
      <c r="K1078" s="4">
        <f t="shared" si="66"/>
        <v>-1.2969729778500305E-3</v>
      </c>
      <c r="M1078" s="5">
        <v>44421</v>
      </c>
      <c r="N1078" s="2">
        <v>16364.4</v>
      </c>
      <c r="O1078" s="4">
        <f t="shared" si="67"/>
        <v>5.0453714934974858E-3</v>
      </c>
    </row>
    <row r="1079" spans="1:15" x14ac:dyDescent="0.25">
      <c r="A1079" s="3">
        <v>44420</v>
      </c>
      <c r="B1079" s="1">
        <v>188.126</v>
      </c>
      <c r="C1079" s="4">
        <f t="shared" si="64"/>
        <v>3.7562292580379797E-3</v>
      </c>
      <c r="E1079" s="3">
        <v>44420</v>
      </c>
      <c r="F1079" s="1">
        <v>80.209999999999994</v>
      </c>
      <c r="G1079" s="4">
        <f t="shared" si="65"/>
        <v>-9.9638809316249244E-4</v>
      </c>
      <c r="I1079" s="3">
        <v>44420</v>
      </c>
      <c r="J1079" s="1">
        <v>88.668000000000006</v>
      </c>
      <c r="K1079" s="4">
        <f t="shared" si="66"/>
        <v>7.5680098179589095E-3</v>
      </c>
      <c r="M1079" s="5">
        <v>44420</v>
      </c>
      <c r="N1079" s="2">
        <v>16282.25</v>
      </c>
      <c r="O1079" s="4">
        <f t="shared" si="67"/>
        <v>1.3206307086566227E-4</v>
      </c>
    </row>
    <row r="1080" spans="1:15" x14ac:dyDescent="0.25">
      <c r="A1080" s="3">
        <v>44419</v>
      </c>
      <c r="B1080" s="1">
        <v>187.422</v>
      </c>
      <c r="C1080" s="4">
        <f t="shared" si="64"/>
        <v>1.3053560135562359E-2</v>
      </c>
      <c r="E1080" s="3">
        <v>44419</v>
      </c>
      <c r="F1080" s="1">
        <v>80.290000000000006</v>
      </c>
      <c r="G1080" s="4">
        <f t="shared" si="65"/>
        <v>-2.0256253813300762E-2</v>
      </c>
      <c r="I1080" s="3">
        <v>44419</v>
      </c>
      <c r="J1080" s="1">
        <v>88.001999999999995</v>
      </c>
      <c r="K1080" s="4">
        <f t="shared" si="66"/>
        <v>5.6796754471173383E-3</v>
      </c>
      <c r="M1080" s="5">
        <v>44419</v>
      </c>
      <c r="N1080" s="2">
        <v>16280.1</v>
      </c>
      <c r="O1080" s="4">
        <f t="shared" si="67"/>
        <v>1.3439330801285898E-3</v>
      </c>
    </row>
    <row r="1081" spans="1:15" x14ac:dyDescent="0.25">
      <c r="A1081" s="3">
        <v>44418</v>
      </c>
      <c r="B1081" s="1">
        <v>185.00700000000001</v>
      </c>
      <c r="C1081" s="4">
        <f t="shared" si="64"/>
        <v>-5.0230987248642833E-3</v>
      </c>
      <c r="E1081" s="3">
        <v>44418</v>
      </c>
      <c r="F1081" s="1">
        <v>81.95</v>
      </c>
      <c r="G1081" s="4">
        <f t="shared" si="65"/>
        <v>-3.6474164133738496E-3</v>
      </c>
      <c r="I1081" s="3">
        <v>44418</v>
      </c>
      <c r="J1081" s="1">
        <v>87.504999999999995</v>
      </c>
      <c r="K1081" s="4">
        <f t="shared" si="66"/>
        <v>-1.3466783835295315E-3</v>
      </c>
      <c r="M1081" s="5">
        <v>44418</v>
      </c>
      <c r="N1081" s="2">
        <v>16258.25</v>
      </c>
      <c r="O1081" s="4">
        <f t="shared" si="67"/>
        <v>1.2347427670553746E-3</v>
      </c>
    </row>
    <row r="1082" spans="1:15" x14ac:dyDescent="0.25">
      <c r="A1082" s="3">
        <v>44417</v>
      </c>
      <c r="B1082" s="1">
        <v>185.941</v>
      </c>
      <c r="C1082" s="4">
        <f t="shared" si="64"/>
        <v>-2.2582357795802088E-2</v>
      </c>
      <c r="E1082" s="3">
        <v>44417</v>
      </c>
      <c r="F1082" s="1">
        <v>82.25</v>
      </c>
      <c r="G1082" s="4">
        <f t="shared" si="65"/>
        <v>9.7359133503704953E-4</v>
      </c>
      <c r="I1082" s="3">
        <v>44417</v>
      </c>
      <c r="J1082" s="1">
        <v>87.623000000000005</v>
      </c>
      <c r="K1082" s="4">
        <f t="shared" si="66"/>
        <v>-2.7315252153921055E-3</v>
      </c>
      <c r="M1082" s="5">
        <v>44417</v>
      </c>
      <c r="N1082" s="2">
        <v>16238.2</v>
      </c>
      <c r="O1082" s="4">
        <f t="shared" si="67"/>
        <v>-3.4612693775851744E-3</v>
      </c>
    </row>
    <row r="1083" spans="1:15" x14ac:dyDescent="0.25">
      <c r="A1083" s="3">
        <v>44414</v>
      </c>
      <c r="B1083" s="1">
        <v>190.23699999999999</v>
      </c>
      <c r="C1083" s="4">
        <f t="shared" si="64"/>
        <v>-1.8416689403319975E-3</v>
      </c>
      <c r="E1083" s="3">
        <v>44414</v>
      </c>
      <c r="F1083" s="1">
        <v>82.17</v>
      </c>
      <c r="G1083" s="4">
        <f t="shared" si="65"/>
        <v>-1.3368983957219305E-3</v>
      </c>
      <c r="I1083" s="3">
        <v>44414</v>
      </c>
      <c r="J1083" s="1">
        <v>87.863</v>
      </c>
      <c r="K1083" s="4">
        <f t="shared" si="66"/>
        <v>-9.5512069769299046E-4</v>
      </c>
      <c r="M1083" s="5">
        <v>44414</v>
      </c>
      <c r="N1083" s="2">
        <v>16294.6</v>
      </c>
      <c r="O1083" s="4">
        <f t="shared" si="67"/>
        <v>2.201884517922581E-3</v>
      </c>
    </row>
    <row r="1084" spans="1:15" x14ac:dyDescent="0.25">
      <c r="A1084" s="3">
        <v>44413</v>
      </c>
      <c r="B1084" s="1">
        <v>190.58799999999999</v>
      </c>
      <c r="C1084" s="4">
        <f t="shared" si="64"/>
        <v>-1.9010112541960611E-3</v>
      </c>
      <c r="E1084" s="3">
        <v>44413</v>
      </c>
      <c r="F1084" s="1">
        <v>82.28</v>
      </c>
      <c r="G1084" s="4">
        <f t="shared" si="65"/>
        <v>2.6809651474530849E-3</v>
      </c>
      <c r="I1084" s="3">
        <v>44413</v>
      </c>
      <c r="J1084" s="1">
        <v>87.947000000000003</v>
      </c>
      <c r="K1084" s="4">
        <f t="shared" si="66"/>
        <v>-4.336012679723722E-3</v>
      </c>
      <c r="M1084" s="5">
        <v>44413</v>
      </c>
      <c r="N1084" s="2">
        <v>16258.8</v>
      </c>
      <c r="O1084" s="4">
        <f t="shared" si="67"/>
        <v>7.9382545758877043E-3</v>
      </c>
    </row>
    <row r="1085" spans="1:15" x14ac:dyDescent="0.25">
      <c r="A1085" s="3">
        <v>44412</v>
      </c>
      <c r="B1085" s="1">
        <v>190.95099999999999</v>
      </c>
      <c r="C1085" s="4">
        <f t="shared" si="64"/>
        <v>-7.448644377910818E-3</v>
      </c>
      <c r="E1085" s="3">
        <v>44412</v>
      </c>
      <c r="F1085" s="1">
        <v>82.06</v>
      </c>
      <c r="G1085" s="4">
        <f t="shared" si="65"/>
        <v>1.2086827824371094E-2</v>
      </c>
      <c r="I1085" s="3">
        <v>44412</v>
      </c>
      <c r="J1085" s="1">
        <v>88.33</v>
      </c>
      <c r="K1085" s="4">
        <f t="shared" si="66"/>
        <v>-1.0856535408138024E-3</v>
      </c>
      <c r="M1085" s="5">
        <v>44412</v>
      </c>
      <c r="N1085" s="2">
        <v>16130.75</v>
      </c>
      <c r="O1085" s="4">
        <f t="shared" si="67"/>
        <v>1.5460980853186701E-2</v>
      </c>
    </row>
    <row r="1086" spans="1:15" x14ac:dyDescent="0.25">
      <c r="A1086" s="3">
        <v>44411</v>
      </c>
      <c r="B1086" s="1">
        <v>192.38399999999999</v>
      </c>
      <c r="C1086" s="4">
        <f t="shared" si="64"/>
        <v>2.1826895527830015E-3</v>
      </c>
      <c r="E1086" s="3">
        <v>44411</v>
      </c>
      <c r="F1086" s="1">
        <v>81.08</v>
      </c>
      <c r="G1086" s="4">
        <f t="shared" si="65"/>
        <v>6.1705541157586197E-4</v>
      </c>
      <c r="I1086" s="3">
        <v>44411</v>
      </c>
      <c r="J1086" s="1">
        <v>88.426000000000002</v>
      </c>
      <c r="K1086" s="4">
        <f t="shared" si="66"/>
        <v>2.1646738822462819E-3</v>
      </c>
      <c r="M1086" s="5">
        <v>44411</v>
      </c>
      <c r="N1086" s="2">
        <v>15885.15</v>
      </c>
      <c r="O1086" s="4">
        <f t="shared" si="67"/>
        <v>7.7459628688609783E-3</v>
      </c>
    </row>
    <row r="1087" spans="1:15" x14ac:dyDescent="0.25">
      <c r="A1087" s="3">
        <v>44410</v>
      </c>
      <c r="B1087" s="1">
        <v>191.965</v>
      </c>
      <c r="C1087" s="4">
        <f t="shared" si="64"/>
        <v>1.0065666238713744E-2</v>
      </c>
      <c r="E1087" s="3">
        <v>44410</v>
      </c>
      <c r="F1087" s="1">
        <v>81.03</v>
      </c>
      <c r="G1087" s="4">
        <f t="shared" si="65"/>
        <v>-5.1565377532228895E-3</v>
      </c>
      <c r="I1087" s="3">
        <v>44410</v>
      </c>
      <c r="J1087" s="1">
        <v>88.234999999999999</v>
      </c>
      <c r="K1087" s="4">
        <f t="shared" si="66"/>
        <v>1.0339852516832337E-2</v>
      </c>
      <c r="M1087" s="5">
        <v>44410</v>
      </c>
      <c r="N1087" s="2">
        <v>15763.05</v>
      </c>
      <c r="O1087" s="4">
        <f t="shared" si="67"/>
        <v>-9.7601475430109108E-4</v>
      </c>
    </row>
    <row r="1088" spans="1:15" x14ac:dyDescent="0.25">
      <c r="A1088" s="3">
        <v>44407</v>
      </c>
      <c r="B1088" s="1">
        <v>190.05199999999999</v>
      </c>
      <c r="C1088" s="4">
        <f t="shared" si="64"/>
        <v>-2.493084969584336E-3</v>
      </c>
      <c r="E1088" s="3">
        <v>44407</v>
      </c>
      <c r="F1088" s="1">
        <v>81.45</v>
      </c>
      <c r="G1088" s="4">
        <f t="shared" si="65"/>
        <v>-1.7158965559505024E-3</v>
      </c>
      <c r="I1088" s="3">
        <v>44407</v>
      </c>
      <c r="J1088" s="1">
        <v>87.331999999999994</v>
      </c>
      <c r="K1088" s="4">
        <f t="shared" si="66"/>
        <v>8.4293665273318386E-3</v>
      </c>
      <c r="M1088" s="5">
        <v>44407</v>
      </c>
      <c r="N1088" s="2">
        <v>15778.45</v>
      </c>
      <c r="O1088" s="4">
        <f t="shared" si="67"/>
        <v>4.3954574967854931E-3</v>
      </c>
    </row>
    <row r="1089" spans="1:15" x14ac:dyDescent="0.25">
      <c r="A1089" s="3">
        <v>44406</v>
      </c>
      <c r="B1089" s="1">
        <v>190.52699999999999</v>
      </c>
      <c r="C1089" s="4">
        <f t="shared" si="64"/>
        <v>-9.7863936385843564E-3</v>
      </c>
      <c r="E1089" s="3">
        <v>44406</v>
      </c>
      <c r="F1089" s="1">
        <v>81.59</v>
      </c>
      <c r="G1089" s="4">
        <f t="shared" si="65"/>
        <v>-3.6634509708144414E-3</v>
      </c>
      <c r="I1089" s="3">
        <v>44406</v>
      </c>
      <c r="J1089" s="1">
        <v>86.602000000000004</v>
      </c>
      <c r="K1089" s="4">
        <f t="shared" si="66"/>
        <v>3.8716557703899479E-3</v>
      </c>
      <c r="M1089" s="5">
        <v>44406</v>
      </c>
      <c r="N1089" s="2">
        <v>15709.4</v>
      </c>
      <c r="O1089" s="4">
        <f t="shared" si="67"/>
        <v>-2.3529112911164773E-3</v>
      </c>
    </row>
    <row r="1090" spans="1:15" x14ac:dyDescent="0.25">
      <c r="A1090" s="3">
        <v>44405</v>
      </c>
      <c r="B1090" s="1">
        <v>192.41</v>
      </c>
      <c r="C1090" s="4">
        <f t="shared" si="64"/>
        <v>-6.4340893130087062E-3</v>
      </c>
      <c r="E1090" s="3">
        <v>44405</v>
      </c>
      <c r="F1090" s="1">
        <v>81.89</v>
      </c>
      <c r="G1090" s="4">
        <f t="shared" si="65"/>
        <v>-6.1020258725896781E-4</v>
      </c>
      <c r="I1090" s="3">
        <v>44405</v>
      </c>
      <c r="J1090" s="1">
        <v>86.268000000000001</v>
      </c>
      <c r="K1090" s="4">
        <f t="shared" si="66"/>
        <v>5.4311088319618506E-3</v>
      </c>
      <c r="M1090" s="5">
        <v>44405</v>
      </c>
      <c r="N1090" s="2">
        <v>15746.45</v>
      </c>
      <c r="O1090" s="4">
        <f t="shared" si="67"/>
        <v>-4.929081263487789E-3</v>
      </c>
    </row>
    <row r="1091" spans="1:15" x14ac:dyDescent="0.25">
      <c r="A1091" s="3">
        <v>44404</v>
      </c>
      <c r="B1091" s="1">
        <v>193.65600000000001</v>
      </c>
      <c r="C1091" s="4">
        <f t="shared" ref="C1091:C1154" si="68">(B1091/B1092)-1</f>
        <v>-4.7484361128879993E-4</v>
      </c>
      <c r="E1091" s="3">
        <v>44404</v>
      </c>
      <c r="F1091" s="1">
        <v>81.94</v>
      </c>
      <c r="G1091" s="4">
        <f t="shared" ref="G1091:G1154" si="69">(F1091/F1092)-1</f>
        <v>-9.7537186052176761E-4</v>
      </c>
      <c r="I1091" s="3">
        <v>44404</v>
      </c>
      <c r="J1091" s="1">
        <v>85.802000000000007</v>
      </c>
      <c r="K1091" s="4">
        <f t="shared" ref="K1091:K1154" si="70">(J1091/J1092)-1</f>
        <v>-2.0818552936112678E-3</v>
      </c>
      <c r="M1091" s="5">
        <v>44404</v>
      </c>
      <c r="N1091" s="2">
        <v>15824.45</v>
      </c>
      <c r="O1091" s="4">
        <f t="shared" ref="O1091:O1154" si="71">(N1091/N1092)-1</f>
        <v>-1.9929301433836422E-3</v>
      </c>
    </row>
    <row r="1092" spans="1:15" x14ac:dyDescent="0.25">
      <c r="A1092" s="3">
        <v>44403</v>
      </c>
      <c r="B1092" s="1">
        <v>193.74799999999999</v>
      </c>
      <c r="C1092" s="4">
        <f t="shared" si="68"/>
        <v>-2.8717589781067643E-3</v>
      </c>
      <c r="E1092" s="3">
        <v>44403</v>
      </c>
      <c r="F1092" s="1">
        <v>82.02</v>
      </c>
      <c r="G1092" s="4">
        <f t="shared" si="69"/>
        <v>9.4769230769229384E-3</v>
      </c>
      <c r="I1092" s="3">
        <v>44403</v>
      </c>
      <c r="J1092" s="1">
        <v>85.980999999999995</v>
      </c>
      <c r="K1092" s="4">
        <f t="shared" si="70"/>
        <v>-5.2409931277044297E-3</v>
      </c>
      <c r="M1092" s="5">
        <v>44403</v>
      </c>
      <c r="N1092" s="2">
        <v>15856.05</v>
      </c>
      <c r="O1092" s="4">
        <f t="shared" si="71"/>
        <v>2.022238301825352E-3</v>
      </c>
    </row>
    <row r="1093" spans="1:15" x14ac:dyDescent="0.25">
      <c r="A1093" s="3">
        <v>44400</v>
      </c>
      <c r="B1093" s="1">
        <v>194.30600000000001</v>
      </c>
      <c r="C1093" s="4">
        <f t="shared" si="68"/>
        <v>-2.848184090197492E-3</v>
      </c>
      <c r="E1093" s="3">
        <v>44400</v>
      </c>
      <c r="F1093" s="1">
        <v>81.25</v>
      </c>
      <c r="G1093" s="4">
        <f t="shared" si="69"/>
        <v>6.5659068384540387E-3</v>
      </c>
      <c r="I1093" s="3">
        <v>44400</v>
      </c>
      <c r="J1093" s="1">
        <v>86.433999999999997</v>
      </c>
      <c r="K1093" s="4">
        <f t="shared" si="70"/>
        <v>7.7575925990247541E-4</v>
      </c>
      <c r="M1093" s="5">
        <v>44400</v>
      </c>
      <c r="N1093" s="2">
        <v>15824.05</v>
      </c>
      <c r="O1093" s="4">
        <f t="shared" si="71"/>
        <v>1.2279220322285456E-2</v>
      </c>
    </row>
    <row r="1094" spans="1:15" x14ac:dyDescent="0.25">
      <c r="A1094" s="3">
        <v>44399</v>
      </c>
      <c r="B1094" s="1">
        <v>194.86099999999999</v>
      </c>
      <c r="C1094" s="4">
        <f t="shared" si="68"/>
        <v>6.1132710647107125E-3</v>
      </c>
      <c r="E1094" s="3">
        <v>44399</v>
      </c>
      <c r="F1094" s="1">
        <v>80.72</v>
      </c>
      <c r="G1094" s="4">
        <f t="shared" si="69"/>
        <v>6.2328596360010646E-3</v>
      </c>
      <c r="I1094" s="3">
        <v>44399</v>
      </c>
      <c r="J1094" s="1">
        <v>86.367000000000004</v>
      </c>
      <c r="K1094" s="4">
        <f t="shared" si="70"/>
        <v>6.385532341323108E-3</v>
      </c>
      <c r="M1094" s="5">
        <v>44399</v>
      </c>
      <c r="N1094" s="2">
        <v>15632.1</v>
      </c>
      <c r="O1094" s="4">
        <f t="shared" si="71"/>
        <v>-7.6369315151976203E-3</v>
      </c>
    </row>
    <row r="1095" spans="1:15" x14ac:dyDescent="0.25">
      <c r="A1095" s="3">
        <v>44397</v>
      </c>
      <c r="B1095" s="1">
        <v>193.67699999999999</v>
      </c>
      <c r="C1095" s="4">
        <f t="shared" si="68"/>
        <v>7.9049532155830438E-3</v>
      </c>
      <c r="E1095" s="3">
        <v>44397</v>
      </c>
      <c r="F1095" s="1">
        <v>80.22</v>
      </c>
      <c r="G1095" s="4">
        <f t="shared" si="69"/>
        <v>9.5645607853007686E-3</v>
      </c>
      <c r="I1095" s="3">
        <v>44397</v>
      </c>
      <c r="J1095" s="1">
        <v>85.819000000000003</v>
      </c>
      <c r="K1095" s="4">
        <f t="shared" si="70"/>
        <v>1.0705452832410867E-2</v>
      </c>
      <c r="M1095" s="5">
        <v>44397</v>
      </c>
      <c r="N1095" s="2">
        <v>15752.4</v>
      </c>
      <c r="O1095" s="4">
        <f t="shared" si="71"/>
        <v>-1.0738912543803436E-2</v>
      </c>
    </row>
    <row r="1096" spans="1:15" x14ac:dyDescent="0.25">
      <c r="A1096" s="3">
        <v>44396</v>
      </c>
      <c r="B1096" s="1">
        <v>192.15799999999999</v>
      </c>
      <c r="C1096" s="4">
        <f t="shared" si="68"/>
        <v>8.0525435020957215E-3</v>
      </c>
      <c r="E1096" s="3">
        <v>44396</v>
      </c>
      <c r="F1096" s="1">
        <v>79.459999999999994</v>
      </c>
      <c r="G1096" s="4">
        <f t="shared" si="69"/>
        <v>3.776910487218732E-4</v>
      </c>
      <c r="I1096" s="3">
        <v>44396</v>
      </c>
      <c r="J1096" s="1">
        <v>84.91</v>
      </c>
      <c r="K1096" s="4">
        <f t="shared" si="70"/>
        <v>-9.1719566840926525E-3</v>
      </c>
      <c r="M1096" s="5">
        <v>44396</v>
      </c>
      <c r="N1096" s="2">
        <v>15923.4</v>
      </c>
      <c r="O1096" s="4">
        <f t="shared" si="71"/>
        <v>-5.023800253711741E-5</v>
      </c>
    </row>
    <row r="1097" spans="1:15" x14ac:dyDescent="0.25">
      <c r="A1097" s="3">
        <v>44393</v>
      </c>
      <c r="B1097" s="1">
        <v>190.62299999999999</v>
      </c>
      <c r="C1097" s="4">
        <f t="shared" si="68"/>
        <v>3.289508310613698E-3</v>
      </c>
      <c r="E1097" s="3">
        <v>44393</v>
      </c>
      <c r="F1097" s="1">
        <v>79.430000000000007</v>
      </c>
      <c r="G1097" s="4">
        <f t="shared" si="69"/>
        <v>-3.5127336595155434E-3</v>
      </c>
      <c r="I1097" s="3">
        <v>44393</v>
      </c>
      <c r="J1097" s="1">
        <v>85.695999999999998</v>
      </c>
      <c r="K1097" s="4">
        <f t="shared" si="70"/>
        <v>-6.0083049156749446E-3</v>
      </c>
      <c r="M1097" s="5">
        <v>44393</v>
      </c>
      <c r="N1097" s="2">
        <v>15924.2</v>
      </c>
      <c r="O1097" s="4">
        <f t="shared" si="71"/>
        <v>4.4310723825924381E-3</v>
      </c>
    </row>
    <row r="1098" spans="1:15" x14ac:dyDescent="0.25">
      <c r="A1098" s="3">
        <v>44392</v>
      </c>
      <c r="B1098" s="1">
        <v>189.99799999999999</v>
      </c>
      <c r="C1098" s="4">
        <f t="shared" si="68"/>
        <v>-7.205406684723803E-4</v>
      </c>
      <c r="E1098" s="3">
        <v>44392</v>
      </c>
      <c r="F1098" s="1">
        <v>79.709999999999994</v>
      </c>
      <c r="G1098" s="4">
        <f t="shared" si="69"/>
        <v>-2.5028156676261126E-3</v>
      </c>
      <c r="I1098" s="3">
        <v>44392</v>
      </c>
      <c r="J1098" s="1">
        <v>86.213999999999999</v>
      </c>
      <c r="K1098" s="4">
        <f t="shared" si="70"/>
        <v>7.7774037401168172E-4</v>
      </c>
      <c r="M1098" s="5">
        <v>44392</v>
      </c>
      <c r="N1098" s="2">
        <v>15853.95</v>
      </c>
      <c r="O1098" s="4">
        <f t="shared" si="71"/>
        <v>2.6308549962530403E-3</v>
      </c>
    </row>
    <row r="1099" spans="1:15" x14ac:dyDescent="0.25">
      <c r="A1099" s="3">
        <v>44391</v>
      </c>
      <c r="B1099" s="1">
        <v>190.13499999999999</v>
      </c>
      <c r="C1099" s="4">
        <f t="shared" si="68"/>
        <v>-3.2659180742092841E-3</v>
      </c>
      <c r="E1099" s="3">
        <v>44391</v>
      </c>
      <c r="F1099" s="1">
        <v>79.91</v>
      </c>
      <c r="G1099" s="4">
        <f t="shared" si="69"/>
        <v>3.264281230382915E-3</v>
      </c>
      <c r="I1099" s="3">
        <v>44391</v>
      </c>
      <c r="J1099" s="1">
        <v>86.147000000000006</v>
      </c>
      <c r="K1099" s="4">
        <f t="shared" si="70"/>
        <v>3.5881126294574628E-3</v>
      </c>
      <c r="M1099" s="5">
        <v>44391</v>
      </c>
      <c r="N1099" s="2">
        <v>15812.35</v>
      </c>
      <c r="O1099" s="4">
        <f t="shared" si="71"/>
        <v>7.6309853051756971E-3</v>
      </c>
    </row>
    <row r="1100" spans="1:15" x14ac:dyDescent="0.25">
      <c r="A1100" s="3">
        <v>44390</v>
      </c>
      <c r="B1100" s="1">
        <v>190.75800000000001</v>
      </c>
      <c r="C1100" s="4">
        <f t="shared" si="68"/>
        <v>1.2058615356380642E-4</v>
      </c>
      <c r="E1100" s="3">
        <v>44390</v>
      </c>
      <c r="F1100" s="1">
        <v>79.650000000000006</v>
      </c>
      <c r="G1100" s="4">
        <f t="shared" si="69"/>
        <v>1.4391237901171694E-2</v>
      </c>
      <c r="I1100" s="3">
        <v>44390</v>
      </c>
      <c r="J1100" s="1">
        <v>85.838999999999999</v>
      </c>
      <c r="K1100" s="4">
        <f t="shared" si="70"/>
        <v>2.6280748475715487E-3</v>
      </c>
      <c r="M1100" s="5">
        <v>44390</v>
      </c>
      <c r="N1100" s="2">
        <v>15692.6</v>
      </c>
      <c r="O1100" s="4">
        <f t="shared" si="71"/>
        <v>1.7845989113962624E-4</v>
      </c>
    </row>
    <row r="1101" spans="1:15" x14ac:dyDescent="0.25">
      <c r="A1101" s="3">
        <v>44389</v>
      </c>
      <c r="B1101" s="1">
        <v>190.73500000000001</v>
      </c>
      <c r="C1101" s="4">
        <f t="shared" si="68"/>
        <v>6.2429176984091228E-4</v>
      </c>
      <c r="E1101" s="3">
        <v>44389</v>
      </c>
      <c r="F1101" s="1">
        <v>78.52</v>
      </c>
      <c r="G1101" s="4">
        <f t="shared" si="69"/>
        <v>-1.3691747267931209E-2</v>
      </c>
      <c r="I1101" s="3">
        <v>44389</v>
      </c>
      <c r="J1101" s="1">
        <v>85.614000000000004</v>
      </c>
      <c r="K1101" s="4">
        <f t="shared" si="70"/>
        <v>5.5909229721158304E-3</v>
      </c>
      <c r="M1101" s="5">
        <v>44389</v>
      </c>
      <c r="N1101" s="2">
        <v>15689.8</v>
      </c>
      <c r="O1101" s="4">
        <f t="shared" si="71"/>
        <v>-2.4224467347834233E-3</v>
      </c>
    </row>
    <row r="1102" spans="1:15" x14ac:dyDescent="0.25">
      <c r="A1102" s="3">
        <v>44386</v>
      </c>
      <c r="B1102" s="1">
        <v>190.61600000000001</v>
      </c>
      <c r="C1102" s="4">
        <f t="shared" si="68"/>
        <v>1.3251968127236058E-2</v>
      </c>
      <c r="E1102" s="3">
        <v>44386</v>
      </c>
      <c r="F1102" s="1">
        <v>79.61</v>
      </c>
      <c r="G1102" s="4">
        <f t="shared" si="69"/>
        <v>-6.3654518222666656E-3</v>
      </c>
      <c r="I1102" s="3">
        <v>44386</v>
      </c>
      <c r="J1102" s="1">
        <v>85.138000000000005</v>
      </c>
      <c r="K1102" s="4">
        <f t="shared" si="70"/>
        <v>1.9771684123808253E-3</v>
      </c>
      <c r="M1102" s="5">
        <v>44386</v>
      </c>
      <c r="N1102" s="2">
        <v>15727.9</v>
      </c>
      <c r="O1102" s="4">
        <f t="shared" si="71"/>
        <v>-9.5562559628203925E-3</v>
      </c>
    </row>
    <row r="1103" spans="1:15" x14ac:dyDescent="0.25">
      <c r="A1103" s="3">
        <v>44385</v>
      </c>
      <c r="B1103" s="1">
        <v>188.12299999999999</v>
      </c>
      <c r="C1103" s="4">
        <f t="shared" si="68"/>
        <v>-1.3394378975964627E-2</v>
      </c>
      <c r="E1103" s="3">
        <v>44385</v>
      </c>
      <c r="F1103" s="1">
        <v>80.12</v>
      </c>
      <c r="G1103" s="4">
        <f t="shared" si="69"/>
        <v>1.3748281464815992E-3</v>
      </c>
      <c r="I1103" s="3">
        <v>44385</v>
      </c>
      <c r="J1103" s="1">
        <v>84.97</v>
      </c>
      <c r="K1103" s="4">
        <f t="shared" si="70"/>
        <v>4.5919628875212837E-4</v>
      </c>
      <c r="M1103" s="5">
        <v>44385</v>
      </c>
      <c r="N1103" s="2">
        <v>15879.65</v>
      </c>
      <c r="O1103" s="4">
        <f t="shared" si="71"/>
        <v>3.8815924644002298E-3</v>
      </c>
    </row>
    <row r="1104" spans="1:15" x14ac:dyDescent="0.25">
      <c r="A1104" s="3">
        <v>44384</v>
      </c>
      <c r="B1104" s="1">
        <v>190.67699999999999</v>
      </c>
      <c r="C1104" s="4">
        <f t="shared" si="68"/>
        <v>2.2556312095423081E-4</v>
      </c>
      <c r="E1104" s="3">
        <v>44384</v>
      </c>
      <c r="F1104" s="1">
        <v>80.010000000000005</v>
      </c>
      <c r="G1104" s="4">
        <f t="shared" si="69"/>
        <v>6.9217216209414012E-3</v>
      </c>
      <c r="I1104" s="3">
        <v>44384</v>
      </c>
      <c r="J1104" s="1">
        <v>84.930999999999997</v>
      </c>
      <c r="K1104" s="4">
        <f t="shared" si="70"/>
        <v>-7.2703470363399969E-3</v>
      </c>
      <c r="M1104" s="5">
        <v>44384</v>
      </c>
      <c r="N1104" s="2">
        <v>15818.25</v>
      </c>
      <c r="O1104" s="4">
        <f t="shared" si="71"/>
        <v>-1.0167768174885738E-3</v>
      </c>
    </row>
    <row r="1105" spans="1:15" x14ac:dyDescent="0.25">
      <c r="A1105" s="3">
        <v>44383</v>
      </c>
      <c r="B1105" s="1">
        <v>190.63399999999999</v>
      </c>
      <c r="C1105" s="4">
        <f t="shared" si="68"/>
        <v>-1.0794382728988028E-3</v>
      </c>
      <c r="E1105" s="3">
        <v>44383</v>
      </c>
      <c r="F1105" s="1">
        <v>79.459999999999994</v>
      </c>
      <c r="G1105" s="4">
        <f t="shared" si="69"/>
        <v>3.1561671506123989E-3</v>
      </c>
      <c r="I1105" s="3">
        <v>44383</v>
      </c>
      <c r="J1105" s="1">
        <v>85.552999999999997</v>
      </c>
      <c r="K1105" s="4">
        <f t="shared" si="70"/>
        <v>2.5193934706695398E-3</v>
      </c>
      <c r="M1105" s="5">
        <v>44383</v>
      </c>
      <c r="N1105" s="2">
        <v>15834.35</v>
      </c>
      <c r="O1105" s="4">
        <f t="shared" si="71"/>
        <v>7.1332256300009611E-3</v>
      </c>
    </row>
    <row r="1106" spans="1:15" x14ac:dyDescent="0.25">
      <c r="A1106" s="3">
        <v>44382</v>
      </c>
      <c r="B1106" s="1">
        <v>190.84</v>
      </c>
      <c r="C1106" s="4">
        <f t="shared" si="68"/>
        <v>2.9957428916802531E-3</v>
      </c>
      <c r="E1106" s="3">
        <v>44382</v>
      </c>
      <c r="F1106" s="1">
        <v>79.209999999999994</v>
      </c>
      <c r="G1106" s="4">
        <f t="shared" si="69"/>
        <v>6.7361464158615103E-3</v>
      </c>
      <c r="I1106" s="3">
        <v>44382</v>
      </c>
      <c r="J1106" s="1">
        <v>85.337999999999994</v>
      </c>
      <c r="K1106" s="4">
        <f t="shared" si="70"/>
        <v>2.9263477065188948E-3</v>
      </c>
      <c r="M1106" s="5">
        <v>44382</v>
      </c>
      <c r="N1106" s="2">
        <v>15722.2</v>
      </c>
      <c r="O1106" s="4">
        <f t="shared" si="71"/>
        <v>2.6913265306123257E-3</v>
      </c>
    </row>
    <row r="1107" spans="1:15" x14ac:dyDescent="0.25">
      <c r="A1107" s="3">
        <v>44379</v>
      </c>
      <c r="B1107" s="1">
        <v>190.27</v>
      </c>
      <c r="C1107" s="4">
        <f t="shared" si="68"/>
        <v>3.0681961958585191E-3</v>
      </c>
      <c r="E1107" s="3">
        <v>44379</v>
      </c>
      <c r="F1107" s="1">
        <v>78.680000000000007</v>
      </c>
      <c r="G1107" s="4">
        <f t="shared" si="69"/>
        <v>3.5714285714285587E-3</v>
      </c>
      <c r="I1107" s="3">
        <v>44379</v>
      </c>
      <c r="J1107" s="1">
        <v>85.088999999999999</v>
      </c>
      <c r="K1107" s="4">
        <f t="shared" si="70"/>
        <v>5.2335609479479128E-3</v>
      </c>
      <c r="M1107" s="5">
        <v>44379</v>
      </c>
      <c r="N1107" s="2">
        <v>15680</v>
      </c>
      <c r="O1107" s="4">
        <f t="shared" si="71"/>
        <v>-2.639697229908089E-3</v>
      </c>
    </row>
    <row r="1108" spans="1:15" x14ac:dyDescent="0.25">
      <c r="A1108" s="3">
        <v>44378</v>
      </c>
      <c r="B1108" s="1">
        <v>189.68799999999999</v>
      </c>
      <c r="C1108" s="4">
        <f t="shared" si="68"/>
        <v>1.0424490361208294E-2</v>
      </c>
      <c r="E1108" s="3">
        <v>44378</v>
      </c>
      <c r="F1108" s="1">
        <v>78.400000000000006</v>
      </c>
      <c r="G1108" s="4">
        <f t="shared" si="69"/>
        <v>-8.92060660124816E-4</v>
      </c>
      <c r="I1108" s="3">
        <v>44378</v>
      </c>
      <c r="J1108" s="1">
        <v>84.646000000000001</v>
      </c>
      <c r="K1108" s="4">
        <f t="shared" si="70"/>
        <v>2.1310349726517686E-3</v>
      </c>
      <c r="M1108" s="5">
        <v>44378</v>
      </c>
      <c r="N1108" s="2">
        <v>15721.5</v>
      </c>
      <c r="O1108" s="4">
        <f t="shared" si="71"/>
        <v>-1.7112795227467448E-3</v>
      </c>
    </row>
    <row r="1109" spans="1:15" x14ac:dyDescent="0.25">
      <c r="A1109" s="3">
        <v>44377</v>
      </c>
      <c r="B1109" s="1">
        <v>187.73099999999999</v>
      </c>
      <c r="C1109" s="4">
        <f t="shared" si="68"/>
        <v>1.0382019569218803E-2</v>
      </c>
      <c r="E1109" s="3">
        <v>44377</v>
      </c>
      <c r="F1109" s="1">
        <v>78.47</v>
      </c>
      <c r="G1109" s="4">
        <f t="shared" si="69"/>
        <v>-8.3407051687096612E-3</v>
      </c>
      <c r="I1109" s="3">
        <v>44377</v>
      </c>
      <c r="J1109" s="1">
        <v>84.465999999999994</v>
      </c>
      <c r="K1109" s="4">
        <f t="shared" si="70"/>
        <v>-6.6254939542376157E-4</v>
      </c>
      <c r="M1109" s="5">
        <v>44377</v>
      </c>
      <c r="N1109" s="2">
        <v>15748.45</v>
      </c>
      <c r="O1109" s="4">
        <f t="shared" si="71"/>
        <v>-4.1891404832212764E-3</v>
      </c>
    </row>
    <row r="1110" spans="1:15" x14ac:dyDescent="0.25">
      <c r="A1110" s="3">
        <v>44376</v>
      </c>
      <c r="B1110" s="1">
        <v>185.80199999999999</v>
      </c>
      <c r="C1110" s="4">
        <f t="shared" si="68"/>
        <v>-7.5829689743645012E-4</v>
      </c>
      <c r="E1110" s="3">
        <v>44376</v>
      </c>
      <c r="F1110" s="1">
        <v>79.13</v>
      </c>
      <c r="G1110" s="4">
        <f t="shared" si="69"/>
        <v>5.5915618248825183E-3</v>
      </c>
      <c r="I1110" s="3">
        <v>44376</v>
      </c>
      <c r="J1110" s="1">
        <v>84.522000000000006</v>
      </c>
      <c r="K1110" s="4">
        <f t="shared" si="70"/>
        <v>-6.030293356034111E-4</v>
      </c>
      <c r="M1110" s="5">
        <v>44376</v>
      </c>
      <c r="N1110" s="2">
        <v>15814.7</v>
      </c>
      <c r="O1110" s="4">
        <f t="shared" si="71"/>
        <v>-2.8782466969518028E-3</v>
      </c>
    </row>
    <row r="1111" spans="1:15" x14ac:dyDescent="0.25">
      <c r="A1111" s="3">
        <v>44375</v>
      </c>
      <c r="B1111" s="1">
        <v>185.94300000000001</v>
      </c>
      <c r="C1111" s="4">
        <f t="shared" si="68"/>
        <v>-3.157635151073257E-3</v>
      </c>
      <c r="E1111" s="3">
        <v>44375</v>
      </c>
      <c r="F1111" s="1">
        <v>78.69</v>
      </c>
      <c r="G1111" s="4">
        <f t="shared" si="69"/>
        <v>-2.0291693088141383E-3</v>
      </c>
      <c r="I1111" s="3">
        <v>44375</v>
      </c>
      <c r="J1111" s="1">
        <v>84.572999999999993</v>
      </c>
      <c r="K1111" s="4">
        <f t="shared" si="70"/>
        <v>-4.2503591023619336E-3</v>
      </c>
      <c r="M1111" s="5">
        <v>44375</v>
      </c>
      <c r="N1111" s="2">
        <v>15860.35</v>
      </c>
      <c r="O1111" s="4">
        <f t="shared" si="71"/>
        <v>4.4267262807582419E-3</v>
      </c>
    </row>
    <row r="1112" spans="1:15" x14ac:dyDescent="0.25">
      <c r="A1112" s="3">
        <v>44372</v>
      </c>
      <c r="B1112" s="1">
        <v>186.53200000000001</v>
      </c>
      <c r="C1112" s="4">
        <f t="shared" si="68"/>
        <v>1.0679395972063466E-2</v>
      </c>
      <c r="E1112" s="3">
        <v>44372</v>
      </c>
      <c r="F1112" s="1">
        <v>78.849999999999994</v>
      </c>
      <c r="G1112" s="4">
        <f t="shared" si="69"/>
        <v>6.7671092951993028E-3</v>
      </c>
      <c r="I1112" s="3">
        <v>44372</v>
      </c>
      <c r="J1112" s="1">
        <v>84.933999999999997</v>
      </c>
      <c r="K1112" s="4">
        <f t="shared" si="70"/>
        <v>2.6798257522990809E-3</v>
      </c>
      <c r="M1112" s="5">
        <v>44372</v>
      </c>
      <c r="N1112" s="2">
        <v>15790.45</v>
      </c>
      <c r="O1112" s="4">
        <f t="shared" si="71"/>
        <v>6.5978408804769906E-3</v>
      </c>
    </row>
    <row r="1113" spans="1:15" x14ac:dyDescent="0.25">
      <c r="A1113" s="3">
        <v>44371</v>
      </c>
      <c r="B1113" s="1">
        <v>184.56100000000001</v>
      </c>
      <c r="C1113" s="4">
        <f t="shared" si="68"/>
        <v>-4.2030862199201602E-3</v>
      </c>
      <c r="E1113" s="3">
        <v>44371</v>
      </c>
      <c r="F1113" s="1">
        <v>78.319999999999993</v>
      </c>
      <c r="G1113" s="4">
        <f t="shared" si="69"/>
        <v>1.0224948875254825E-3</v>
      </c>
      <c r="I1113" s="3">
        <v>44371</v>
      </c>
      <c r="J1113" s="1">
        <v>84.706999999999994</v>
      </c>
      <c r="K1113" s="4">
        <f t="shared" si="70"/>
        <v>8.9812156802018261E-3</v>
      </c>
      <c r="M1113" s="5">
        <v>44371</v>
      </c>
      <c r="N1113" s="2">
        <v>15686.95</v>
      </c>
      <c r="O1113" s="4">
        <f t="shared" si="71"/>
        <v>-5.4397616141762528E-3</v>
      </c>
    </row>
    <row r="1114" spans="1:15" x14ac:dyDescent="0.25">
      <c r="A1114" s="3">
        <v>44370</v>
      </c>
      <c r="B1114" s="1">
        <v>185.34</v>
      </c>
      <c r="C1114" s="4">
        <f t="shared" si="68"/>
        <v>6.7792190861091228E-3</v>
      </c>
      <c r="E1114" s="3">
        <v>44370</v>
      </c>
      <c r="F1114" s="1">
        <v>78.239999999999995</v>
      </c>
      <c r="G1114" s="4">
        <f t="shared" si="69"/>
        <v>2.5568908207618257E-4</v>
      </c>
      <c r="I1114" s="3">
        <v>44370</v>
      </c>
      <c r="J1114" s="1">
        <v>83.953000000000003</v>
      </c>
      <c r="K1114" s="4">
        <f t="shared" si="70"/>
        <v>5.3890279391159979E-3</v>
      </c>
      <c r="M1114" s="5">
        <v>44370</v>
      </c>
      <c r="N1114" s="2">
        <v>15772.75</v>
      </c>
      <c r="O1114" s="4">
        <f t="shared" si="71"/>
        <v>1.6670371193598932E-3</v>
      </c>
    </row>
    <row r="1115" spans="1:15" x14ac:dyDescent="0.25">
      <c r="A1115" s="3">
        <v>44369</v>
      </c>
      <c r="B1115" s="1">
        <v>184.09200000000001</v>
      </c>
      <c r="C1115" s="4">
        <f t="shared" si="68"/>
        <v>7.4260541220894094E-3</v>
      </c>
      <c r="E1115" s="3">
        <v>44369</v>
      </c>
      <c r="F1115" s="1">
        <v>78.22</v>
      </c>
      <c r="G1115" s="4">
        <f t="shared" si="69"/>
        <v>1.4082703879145786E-3</v>
      </c>
      <c r="I1115" s="3">
        <v>44369</v>
      </c>
      <c r="J1115" s="1">
        <v>83.503</v>
      </c>
      <c r="K1115" s="4">
        <f t="shared" si="70"/>
        <v>-4.4233016190952101E-3</v>
      </c>
      <c r="M1115" s="5">
        <v>44369</v>
      </c>
      <c r="N1115" s="2">
        <v>15746.5</v>
      </c>
      <c r="O1115" s="4">
        <f t="shared" si="71"/>
        <v>4.0265632023770426E-3</v>
      </c>
    </row>
    <row r="1116" spans="1:15" x14ac:dyDescent="0.25">
      <c r="A1116" s="3">
        <v>44368</v>
      </c>
      <c r="B1116" s="1">
        <v>182.73500000000001</v>
      </c>
      <c r="C1116" s="4">
        <f t="shared" si="68"/>
        <v>2.7492125508961074E-3</v>
      </c>
      <c r="E1116" s="3">
        <v>44368</v>
      </c>
      <c r="F1116" s="1">
        <v>78.11</v>
      </c>
      <c r="G1116" s="4">
        <f t="shared" si="69"/>
        <v>-3.5718841688990866E-3</v>
      </c>
      <c r="I1116" s="3">
        <v>44368</v>
      </c>
      <c r="J1116" s="1">
        <v>83.873999999999995</v>
      </c>
      <c r="K1116" s="4">
        <f t="shared" si="70"/>
        <v>1.9830840540928651E-3</v>
      </c>
      <c r="M1116" s="5">
        <v>44368</v>
      </c>
      <c r="N1116" s="2">
        <v>15683.35</v>
      </c>
      <c r="O1116" s="4">
        <f t="shared" si="71"/>
        <v>-5.1301987075713651E-4</v>
      </c>
    </row>
    <row r="1117" spans="1:15" x14ac:dyDescent="0.25">
      <c r="A1117" s="3">
        <v>44365</v>
      </c>
      <c r="B1117" s="1">
        <v>182.23400000000001</v>
      </c>
      <c r="C1117" s="4">
        <f t="shared" si="68"/>
        <v>2.7016171186786675E-3</v>
      </c>
      <c r="E1117" s="3">
        <v>44365</v>
      </c>
      <c r="F1117" s="1">
        <v>78.39</v>
      </c>
      <c r="G1117" s="4">
        <f t="shared" si="69"/>
        <v>1.7891373801917076E-3</v>
      </c>
      <c r="I1117" s="3">
        <v>44365</v>
      </c>
      <c r="J1117" s="1">
        <v>83.707999999999998</v>
      </c>
      <c r="K1117" s="4">
        <f t="shared" si="70"/>
        <v>5.8035446079904851E-3</v>
      </c>
      <c r="M1117" s="5">
        <v>44365</v>
      </c>
      <c r="N1117" s="2">
        <v>15691.4</v>
      </c>
      <c r="O1117" s="4">
        <f t="shared" si="71"/>
        <v>-4.8295391484409755E-3</v>
      </c>
    </row>
    <row r="1118" spans="1:15" x14ac:dyDescent="0.25">
      <c r="A1118" s="3">
        <v>44364</v>
      </c>
      <c r="B1118" s="1">
        <v>181.74299999999999</v>
      </c>
      <c r="C1118" s="4">
        <f t="shared" si="68"/>
        <v>-3.6784457333318699E-3</v>
      </c>
      <c r="E1118" s="3">
        <v>44364</v>
      </c>
      <c r="F1118" s="1">
        <v>78.25</v>
      </c>
      <c r="G1118" s="4">
        <f t="shared" si="69"/>
        <v>9.8077171247903383E-3</v>
      </c>
      <c r="I1118" s="3">
        <v>44364</v>
      </c>
      <c r="J1118" s="1">
        <v>83.224999999999994</v>
      </c>
      <c r="K1118" s="4">
        <f t="shared" si="70"/>
        <v>-5.40172329313926E-3</v>
      </c>
      <c r="M1118" s="5">
        <v>44364</v>
      </c>
      <c r="N1118" s="2">
        <v>15767.55</v>
      </c>
      <c r="O1118" s="4">
        <f t="shared" si="71"/>
        <v>-6.4086204452006301E-3</v>
      </c>
    </row>
    <row r="1119" spans="1:15" x14ac:dyDescent="0.25">
      <c r="A1119" s="3">
        <v>44363</v>
      </c>
      <c r="B1119" s="1">
        <v>182.41399999999999</v>
      </c>
      <c r="C1119" s="4">
        <f t="shared" si="68"/>
        <v>4.9195409897477838E-3</v>
      </c>
      <c r="E1119" s="3">
        <v>44363</v>
      </c>
      <c r="F1119" s="1">
        <v>77.489999999999995</v>
      </c>
      <c r="G1119" s="4">
        <f t="shared" si="69"/>
        <v>6.7558789138624231E-3</v>
      </c>
      <c r="I1119" s="3">
        <v>44363</v>
      </c>
      <c r="J1119" s="1">
        <v>83.677000000000007</v>
      </c>
      <c r="K1119" s="4">
        <f t="shared" si="70"/>
        <v>-3.7147721725463434E-3</v>
      </c>
      <c r="M1119" s="5">
        <v>44363</v>
      </c>
      <c r="N1119" s="2">
        <v>15869.25</v>
      </c>
      <c r="O1119" s="4">
        <f t="shared" si="71"/>
        <v>3.6301887508418673E-3</v>
      </c>
    </row>
    <row r="1120" spans="1:15" x14ac:dyDescent="0.25">
      <c r="A1120" s="3">
        <v>44362</v>
      </c>
      <c r="B1120" s="1">
        <v>181.52099999999999</v>
      </c>
      <c r="C1120" s="4">
        <f t="shared" si="68"/>
        <v>9.2405717812285015E-3</v>
      </c>
      <c r="E1120" s="3">
        <v>44362</v>
      </c>
      <c r="F1120" s="1">
        <v>76.97</v>
      </c>
      <c r="G1120" s="4">
        <f t="shared" si="69"/>
        <v>-2.2037853253824569E-3</v>
      </c>
      <c r="I1120" s="3">
        <v>44362</v>
      </c>
      <c r="J1120" s="1">
        <v>83.989000000000004</v>
      </c>
      <c r="K1120" s="4">
        <f t="shared" si="70"/>
        <v>-6.6938678966353971E-3</v>
      </c>
      <c r="M1120" s="5">
        <v>44362</v>
      </c>
      <c r="N1120" s="2">
        <v>15811.85</v>
      </c>
      <c r="O1120" s="4">
        <f t="shared" si="71"/>
        <v>7.911717887127967E-4</v>
      </c>
    </row>
    <row r="1121" spans="1:15" x14ac:dyDescent="0.25">
      <c r="A1121" s="3">
        <v>44361</v>
      </c>
      <c r="B1121" s="1">
        <v>179.85900000000001</v>
      </c>
      <c r="C1121" s="4">
        <f t="shared" si="68"/>
        <v>-1.5266412781594907E-3</v>
      </c>
      <c r="E1121" s="3">
        <v>44361</v>
      </c>
      <c r="F1121" s="1">
        <v>77.14</v>
      </c>
      <c r="G1121" s="4">
        <f t="shared" si="69"/>
        <v>2.8601144045761195E-3</v>
      </c>
      <c r="I1121" s="3">
        <v>44361</v>
      </c>
      <c r="J1121" s="1">
        <v>84.555000000000007</v>
      </c>
      <c r="K1121" s="4">
        <f t="shared" si="70"/>
        <v>6.4034659652214554E-3</v>
      </c>
      <c r="M1121" s="5">
        <v>44361</v>
      </c>
      <c r="N1121" s="2">
        <v>15799.35</v>
      </c>
      <c r="O1121" s="4">
        <f t="shared" si="71"/>
        <v>3.9141554542421186E-3</v>
      </c>
    </row>
    <row r="1122" spans="1:15" x14ac:dyDescent="0.25">
      <c r="A1122" s="3">
        <v>44358</v>
      </c>
      <c r="B1122" s="1">
        <v>180.13399999999999</v>
      </c>
      <c r="C1122" s="4">
        <f t="shared" si="68"/>
        <v>-2.4642954053352151E-3</v>
      </c>
      <c r="E1122" s="3">
        <v>44358</v>
      </c>
      <c r="F1122" s="1">
        <v>76.92</v>
      </c>
      <c r="G1122" s="4">
        <f t="shared" si="69"/>
        <v>4.1775456919062037E-3</v>
      </c>
      <c r="I1122" s="3">
        <v>44358</v>
      </c>
      <c r="J1122" s="1">
        <v>84.016999999999996</v>
      </c>
      <c r="K1122" s="4">
        <f t="shared" si="70"/>
        <v>1.263243198150299E-3</v>
      </c>
      <c r="M1122" s="5">
        <v>44358</v>
      </c>
      <c r="N1122" s="2">
        <v>15737.75</v>
      </c>
      <c r="O1122" s="4">
        <f t="shared" si="71"/>
        <v>6.5492617690041666E-3</v>
      </c>
    </row>
    <row r="1123" spans="1:15" x14ac:dyDescent="0.25">
      <c r="A1123" s="3">
        <v>44357</v>
      </c>
      <c r="B1123" s="1">
        <v>180.57900000000001</v>
      </c>
      <c r="C1123" s="4">
        <f t="shared" si="68"/>
        <v>5.0313065256712974E-3</v>
      </c>
      <c r="E1123" s="3">
        <v>44357</v>
      </c>
      <c r="F1123" s="1">
        <v>76.599999999999994</v>
      </c>
      <c r="G1123" s="4">
        <f t="shared" si="69"/>
        <v>-6.7427385892117053E-3</v>
      </c>
      <c r="I1123" s="3">
        <v>44357</v>
      </c>
      <c r="J1123" s="1">
        <v>83.911000000000001</v>
      </c>
      <c r="K1123" s="4">
        <f t="shared" si="70"/>
        <v>3.1801064020564596E-3</v>
      </c>
      <c r="M1123" s="5">
        <v>44357</v>
      </c>
      <c r="N1123" s="2">
        <v>15635.35</v>
      </c>
      <c r="O1123" s="4">
        <f t="shared" si="71"/>
        <v>-6.6549767790547998E-3</v>
      </c>
    </row>
    <row r="1124" spans="1:15" x14ac:dyDescent="0.25">
      <c r="A1124" s="3">
        <v>44356</v>
      </c>
      <c r="B1124" s="1">
        <v>179.67500000000001</v>
      </c>
      <c r="C1124" s="4">
        <f t="shared" si="68"/>
        <v>1.5719676910470604E-3</v>
      </c>
      <c r="E1124" s="3">
        <v>44356</v>
      </c>
      <c r="F1124" s="1">
        <v>77.12</v>
      </c>
      <c r="G1124" s="4">
        <f t="shared" si="69"/>
        <v>-6.0574816342312543E-3</v>
      </c>
      <c r="I1124" s="3">
        <v>44356</v>
      </c>
      <c r="J1124" s="1">
        <v>83.644999999999996</v>
      </c>
      <c r="K1124" s="4">
        <f t="shared" si="70"/>
        <v>8.8285311109235209E-3</v>
      </c>
      <c r="M1124" s="5">
        <v>44356</v>
      </c>
      <c r="N1124" s="2">
        <v>15740.1</v>
      </c>
      <c r="O1124" s="4">
        <f t="shared" si="71"/>
        <v>-7.3325651598399322E-4</v>
      </c>
    </row>
    <row r="1125" spans="1:15" x14ac:dyDescent="0.25">
      <c r="A1125" s="3">
        <v>44355</v>
      </c>
      <c r="B1125" s="1">
        <v>179.393</v>
      </c>
      <c r="C1125" s="4">
        <f t="shared" si="68"/>
        <v>-8.2154368389917298E-3</v>
      </c>
      <c r="E1125" s="3">
        <v>44355</v>
      </c>
      <c r="F1125" s="1">
        <v>77.59</v>
      </c>
      <c r="G1125" s="4">
        <f t="shared" si="69"/>
        <v>-5.7662737057919689E-3</v>
      </c>
      <c r="I1125" s="3">
        <v>44355</v>
      </c>
      <c r="J1125" s="1">
        <v>82.912999999999997</v>
      </c>
      <c r="K1125" s="4">
        <f t="shared" si="70"/>
        <v>-8.3363234062912017E-3</v>
      </c>
      <c r="M1125" s="5">
        <v>44355</v>
      </c>
      <c r="N1125" s="2">
        <v>15751.65</v>
      </c>
      <c r="O1125" s="4">
        <f t="shared" si="71"/>
        <v>5.1945565641899893E-3</v>
      </c>
    </row>
    <row r="1126" spans="1:15" x14ac:dyDescent="0.25">
      <c r="A1126" s="3">
        <v>44354</v>
      </c>
      <c r="B1126" s="1">
        <v>180.87899999999999</v>
      </c>
      <c r="C1126" s="4">
        <f t="shared" si="68"/>
        <v>-7.7785152800101676E-3</v>
      </c>
      <c r="E1126" s="3">
        <v>44354</v>
      </c>
      <c r="F1126" s="1">
        <v>78.040000000000006</v>
      </c>
      <c r="G1126" s="4">
        <f t="shared" si="69"/>
        <v>4.1173443129183251E-3</v>
      </c>
      <c r="I1126" s="3">
        <v>44354</v>
      </c>
      <c r="J1126" s="1">
        <v>83.61</v>
      </c>
      <c r="K1126" s="4">
        <f t="shared" si="70"/>
        <v>1.2214398620491451E-3</v>
      </c>
      <c r="M1126" s="5">
        <v>44354</v>
      </c>
      <c r="N1126" s="2">
        <v>15670.25</v>
      </c>
      <c r="O1126" s="4">
        <f t="shared" si="71"/>
        <v>-1.2810421692314167E-3</v>
      </c>
    </row>
    <row r="1127" spans="1:15" x14ac:dyDescent="0.25">
      <c r="A1127" s="3">
        <v>44351</v>
      </c>
      <c r="B1127" s="1">
        <v>182.297</v>
      </c>
      <c r="C1127" s="4">
        <f t="shared" si="68"/>
        <v>-7.6644620451268297E-3</v>
      </c>
      <c r="E1127" s="3">
        <v>44351</v>
      </c>
      <c r="F1127" s="1">
        <v>77.72</v>
      </c>
      <c r="G1127" s="4">
        <f t="shared" si="69"/>
        <v>-6.429214350005541E-4</v>
      </c>
      <c r="I1127" s="3">
        <v>44351</v>
      </c>
      <c r="J1127" s="1">
        <v>83.507999999999996</v>
      </c>
      <c r="K1127" s="4">
        <f t="shared" si="70"/>
        <v>8.4289337036589362E-3</v>
      </c>
      <c r="M1127" s="5">
        <v>44351</v>
      </c>
      <c r="N1127" s="2">
        <v>15690.35</v>
      </c>
      <c r="O1127" s="4">
        <f t="shared" si="71"/>
        <v>7.3284883347670693E-3</v>
      </c>
    </row>
    <row r="1128" spans="1:15" x14ac:dyDescent="0.25">
      <c r="A1128" s="3">
        <v>44350</v>
      </c>
      <c r="B1128" s="1">
        <v>183.70500000000001</v>
      </c>
      <c r="C1128" s="4">
        <f t="shared" si="68"/>
        <v>6.6909975669100508E-3</v>
      </c>
      <c r="E1128" s="3">
        <v>44350</v>
      </c>
      <c r="F1128" s="1">
        <v>77.77</v>
      </c>
      <c r="G1128" s="4">
        <f t="shared" si="69"/>
        <v>4.3910628955183828E-3</v>
      </c>
      <c r="I1128" s="3">
        <v>44350</v>
      </c>
      <c r="J1128" s="1">
        <v>82.81</v>
      </c>
      <c r="K1128" s="4">
        <f t="shared" si="70"/>
        <v>-5.913660555882938E-4</v>
      </c>
      <c r="M1128" s="5">
        <v>44350</v>
      </c>
      <c r="N1128" s="2">
        <v>15576.2</v>
      </c>
      <c r="O1128" s="4">
        <f t="shared" si="71"/>
        <v>8.667820235830348E-5</v>
      </c>
    </row>
    <row r="1129" spans="1:15" x14ac:dyDescent="0.25">
      <c r="A1129" s="3">
        <v>44349</v>
      </c>
      <c r="B1129" s="1">
        <v>182.48400000000001</v>
      </c>
      <c r="C1129" s="4">
        <f t="shared" si="68"/>
        <v>-2.4762623198150147E-3</v>
      </c>
      <c r="E1129" s="3">
        <v>44349</v>
      </c>
      <c r="F1129" s="1">
        <v>77.430000000000007</v>
      </c>
      <c r="G1129" s="4">
        <f t="shared" si="69"/>
        <v>8.8599348534201816E-3</v>
      </c>
      <c r="I1129" s="3">
        <v>44349</v>
      </c>
      <c r="J1129" s="1">
        <v>82.858999999999995</v>
      </c>
      <c r="K1129" s="4">
        <f t="shared" si="70"/>
        <v>8.790191996298713E-3</v>
      </c>
      <c r="M1129" s="5">
        <v>44349</v>
      </c>
      <c r="N1129" s="2">
        <v>15574.85</v>
      </c>
      <c r="O1129" s="4">
        <f t="shared" si="71"/>
        <v>-5.1017788844098799E-4</v>
      </c>
    </row>
    <row r="1130" spans="1:15" x14ac:dyDescent="0.25">
      <c r="A1130" s="3">
        <v>44348</v>
      </c>
      <c r="B1130" s="1">
        <v>182.93700000000001</v>
      </c>
      <c r="C1130" s="4">
        <f t="shared" si="68"/>
        <v>9.5205265836084685E-4</v>
      </c>
      <c r="E1130" s="3">
        <v>44348</v>
      </c>
      <c r="F1130" s="1">
        <v>76.75</v>
      </c>
      <c r="G1130" s="4">
        <f t="shared" si="69"/>
        <v>-9.6774193548386789E-3</v>
      </c>
      <c r="I1130" s="3">
        <v>44348</v>
      </c>
      <c r="J1130" s="1">
        <v>82.137</v>
      </c>
      <c r="K1130" s="4">
        <f t="shared" si="70"/>
        <v>4.3039677202421078E-3</v>
      </c>
      <c r="M1130" s="5">
        <v>44348</v>
      </c>
      <c r="N1130" s="2">
        <v>15582.8</v>
      </c>
      <c r="O1130" s="4">
        <f t="shared" si="71"/>
        <v>9.5331262369904302E-3</v>
      </c>
    </row>
    <row r="1131" spans="1:15" x14ac:dyDescent="0.25">
      <c r="A1131" s="3">
        <v>44347</v>
      </c>
      <c r="B1131" s="1">
        <v>182.76300000000001</v>
      </c>
      <c r="C1131" s="4">
        <f t="shared" si="68"/>
        <v>8.3865307901547226E-3</v>
      </c>
      <c r="E1131" s="3">
        <v>44347</v>
      </c>
      <c r="F1131" s="1">
        <v>77.5</v>
      </c>
      <c r="G1131" s="4">
        <f t="shared" si="69"/>
        <v>2.7170397205329433E-3</v>
      </c>
      <c r="I1131" s="3">
        <v>44347</v>
      </c>
      <c r="J1131" s="1">
        <v>81.784999999999997</v>
      </c>
      <c r="K1131" s="4">
        <f t="shared" si="70"/>
        <v>-2.2934380832713153E-3</v>
      </c>
      <c r="M1131" s="5">
        <v>44347</v>
      </c>
      <c r="N1131" s="2">
        <v>15435.65</v>
      </c>
      <c r="O1131" s="4">
        <f t="shared" si="71"/>
        <v>6.3763826090357245E-3</v>
      </c>
    </row>
    <row r="1132" spans="1:15" x14ac:dyDescent="0.25">
      <c r="A1132" s="3">
        <v>44344</v>
      </c>
      <c r="B1132" s="1">
        <v>181.24299999999999</v>
      </c>
      <c r="C1132" s="4">
        <f t="shared" si="68"/>
        <v>-9.6443871306173268E-3</v>
      </c>
      <c r="E1132" s="3">
        <v>44344</v>
      </c>
      <c r="F1132" s="1">
        <v>77.290000000000006</v>
      </c>
      <c r="G1132" s="4">
        <f t="shared" si="69"/>
        <v>8.0866049302203979E-3</v>
      </c>
      <c r="I1132" s="3">
        <v>44344</v>
      </c>
      <c r="J1132" s="1">
        <v>81.972999999999999</v>
      </c>
      <c r="K1132" s="4">
        <f t="shared" si="70"/>
        <v>8.8860444794525151E-3</v>
      </c>
      <c r="M1132" s="5">
        <v>44344</v>
      </c>
      <c r="N1132" s="2">
        <v>15337.85</v>
      </c>
      <c r="O1132" s="4">
        <f t="shared" si="71"/>
        <v>2.3788595198495077E-3</v>
      </c>
    </row>
    <row r="1133" spans="1:15" x14ac:dyDescent="0.25">
      <c r="A1133" s="3">
        <v>44343</v>
      </c>
      <c r="B1133" s="1">
        <v>183.00800000000001</v>
      </c>
      <c r="C1133" s="4">
        <f t="shared" si="68"/>
        <v>3.7350474696562497E-3</v>
      </c>
      <c r="E1133" s="3">
        <v>44343</v>
      </c>
      <c r="F1133" s="1">
        <v>76.67</v>
      </c>
      <c r="G1133" s="4">
        <f t="shared" si="69"/>
        <v>2.6092628832352638E-4</v>
      </c>
      <c r="I1133" s="3">
        <v>44343</v>
      </c>
      <c r="J1133" s="1">
        <v>81.251000000000005</v>
      </c>
      <c r="K1133" s="4">
        <f t="shared" si="70"/>
        <v>7.6365024818647598E-4</v>
      </c>
      <c r="M1133" s="5">
        <v>44343</v>
      </c>
      <c r="N1133" s="2">
        <v>15301.45</v>
      </c>
      <c r="O1133" s="4">
        <f t="shared" si="71"/>
        <v>6.115021583396052E-3</v>
      </c>
    </row>
    <row r="1134" spans="1:15" x14ac:dyDescent="0.25">
      <c r="A1134" s="3">
        <v>44342</v>
      </c>
      <c r="B1134" s="1">
        <v>182.327</v>
      </c>
      <c r="C1134" s="4">
        <f t="shared" si="68"/>
        <v>9.1881749295665838E-3</v>
      </c>
      <c r="E1134" s="3">
        <v>44342</v>
      </c>
      <c r="F1134" s="1">
        <v>76.650000000000006</v>
      </c>
      <c r="G1134" s="4">
        <f t="shared" si="69"/>
        <v>5.3777544596014248E-3</v>
      </c>
      <c r="I1134" s="3">
        <v>44342</v>
      </c>
      <c r="J1134" s="1">
        <v>81.188999999999993</v>
      </c>
      <c r="K1134" s="4">
        <f t="shared" si="70"/>
        <v>5.4738875747704085E-3</v>
      </c>
      <c r="M1134" s="5">
        <v>44342</v>
      </c>
      <c r="N1134" s="2">
        <v>15208.45</v>
      </c>
      <c r="O1134" s="4">
        <f t="shared" si="71"/>
        <v>7.0734387440207769E-4</v>
      </c>
    </row>
    <row r="1135" spans="1:15" x14ac:dyDescent="0.25">
      <c r="A1135" s="3">
        <v>44341</v>
      </c>
      <c r="B1135" s="1">
        <v>180.667</v>
      </c>
      <c r="C1135" s="4">
        <f t="shared" si="68"/>
        <v>8.6421326124175302E-4</v>
      </c>
      <c r="E1135" s="3">
        <v>44341</v>
      </c>
      <c r="F1135" s="1">
        <v>76.239999999999995</v>
      </c>
      <c r="G1135" s="4">
        <f t="shared" si="69"/>
        <v>7.7990746860541194E-3</v>
      </c>
      <c r="I1135" s="3">
        <v>44341</v>
      </c>
      <c r="J1135" s="1">
        <v>80.747</v>
      </c>
      <c r="K1135" s="4">
        <f t="shared" si="70"/>
        <v>4.3533962710051721E-3</v>
      </c>
      <c r="M1135" s="5">
        <v>44341</v>
      </c>
      <c r="N1135" s="2">
        <v>15197.7</v>
      </c>
      <c r="O1135" s="4">
        <f t="shared" si="71"/>
        <v>1.4760828451498842E-3</v>
      </c>
    </row>
    <row r="1136" spans="1:15" x14ac:dyDescent="0.25">
      <c r="A1136" s="3">
        <v>44340</v>
      </c>
      <c r="B1136" s="1">
        <v>180.511</v>
      </c>
      <c r="C1136" s="4">
        <f t="shared" si="68"/>
        <v>1.1662836966877643E-2</v>
      </c>
      <c r="E1136" s="3">
        <v>44340</v>
      </c>
      <c r="F1136" s="1">
        <v>75.650000000000006</v>
      </c>
      <c r="G1136" s="4">
        <f t="shared" si="69"/>
        <v>-4.7362189185633508E-3</v>
      </c>
      <c r="I1136" s="3">
        <v>44340</v>
      </c>
      <c r="J1136" s="1">
        <v>80.397000000000006</v>
      </c>
      <c r="K1136" s="4">
        <f t="shared" si="70"/>
        <v>7.4635220360441679E-5</v>
      </c>
      <c r="M1136" s="5">
        <v>44340</v>
      </c>
      <c r="N1136" s="2">
        <v>15175.3</v>
      </c>
      <c r="O1136" s="4">
        <f t="shared" si="71"/>
        <v>1.8063135438295186E-2</v>
      </c>
    </row>
    <row r="1137" spans="1:15" x14ac:dyDescent="0.25">
      <c r="A1137" s="3">
        <v>44337</v>
      </c>
      <c r="B1137" s="1">
        <v>178.43</v>
      </c>
      <c r="C1137" s="4">
        <f t="shared" si="68"/>
        <v>8.2670780427989143E-3</v>
      </c>
      <c r="E1137" s="3">
        <v>44337</v>
      </c>
      <c r="F1137" s="1">
        <v>76.010000000000005</v>
      </c>
      <c r="G1137" s="4">
        <f t="shared" si="69"/>
        <v>8.2239023743202466E-3</v>
      </c>
      <c r="I1137" s="3">
        <v>44337</v>
      </c>
      <c r="J1137" s="1">
        <v>80.391000000000005</v>
      </c>
      <c r="K1137" s="4">
        <f t="shared" si="70"/>
        <v>1.9318011864999374E-3</v>
      </c>
      <c r="M1137" s="5">
        <v>44337</v>
      </c>
      <c r="N1137" s="2">
        <v>14906.05</v>
      </c>
      <c r="O1137" s="4">
        <f t="shared" si="71"/>
        <v>-8.2567372913776582E-3</v>
      </c>
    </row>
    <row r="1138" spans="1:15" x14ac:dyDescent="0.25">
      <c r="A1138" s="3">
        <v>44336</v>
      </c>
      <c r="B1138" s="1">
        <v>176.96700000000001</v>
      </c>
      <c r="C1138" s="4">
        <f t="shared" si="68"/>
        <v>-8.3437934280717885E-3</v>
      </c>
      <c r="E1138" s="3">
        <v>44336</v>
      </c>
      <c r="F1138" s="1">
        <v>75.39</v>
      </c>
      <c r="G1138" s="4">
        <f t="shared" si="69"/>
        <v>-2.6458526260088044E-3</v>
      </c>
      <c r="I1138" s="3">
        <v>44336</v>
      </c>
      <c r="J1138" s="1">
        <v>80.236000000000004</v>
      </c>
      <c r="K1138" s="4">
        <f t="shared" si="70"/>
        <v>1.5992807668443687E-2</v>
      </c>
      <c r="M1138" s="5">
        <v>44336</v>
      </c>
      <c r="N1138" s="2">
        <v>15030.15</v>
      </c>
      <c r="O1138" s="4">
        <f t="shared" si="71"/>
        <v>-5.1594839854118835E-3</v>
      </c>
    </row>
    <row r="1139" spans="1:15" x14ac:dyDescent="0.25">
      <c r="A1139" s="3">
        <v>44335</v>
      </c>
      <c r="B1139" s="1">
        <v>178.45599999999999</v>
      </c>
      <c r="C1139" s="4">
        <f t="shared" si="68"/>
        <v>6.3440684369906464E-3</v>
      </c>
      <c r="E1139" s="3">
        <v>44335</v>
      </c>
      <c r="F1139" s="1">
        <v>75.59</v>
      </c>
      <c r="G1139" s="4">
        <f t="shared" si="69"/>
        <v>3.7179657416013256E-3</v>
      </c>
      <c r="I1139" s="3">
        <v>44335</v>
      </c>
      <c r="J1139" s="1">
        <v>78.972999999999999</v>
      </c>
      <c r="K1139" s="4">
        <f t="shared" si="70"/>
        <v>-5.4154125158999422E-3</v>
      </c>
      <c r="M1139" s="5">
        <v>44335</v>
      </c>
      <c r="N1139" s="2">
        <v>15108.1</v>
      </c>
      <c r="O1139" s="4">
        <f t="shared" si="71"/>
        <v>1.2393496011230853E-2</v>
      </c>
    </row>
    <row r="1140" spans="1:15" x14ac:dyDescent="0.25">
      <c r="A1140" s="3">
        <v>44334</v>
      </c>
      <c r="B1140" s="1">
        <v>177.33099999999999</v>
      </c>
      <c r="C1140" s="4">
        <f t="shared" si="68"/>
        <v>-2.4077543190499373E-3</v>
      </c>
      <c r="E1140" s="3">
        <v>44334</v>
      </c>
      <c r="F1140" s="1">
        <v>75.31</v>
      </c>
      <c r="G1140" s="4">
        <f t="shared" si="69"/>
        <v>5.3397410225604069E-3</v>
      </c>
      <c r="I1140" s="3">
        <v>44334</v>
      </c>
      <c r="J1140" s="1">
        <v>79.403000000000006</v>
      </c>
      <c r="K1140" s="4">
        <f t="shared" si="70"/>
        <v>-1.9357190442073069E-3</v>
      </c>
      <c r="M1140" s="5">
        <v>44334</v>
      </c>
      <c r="N1140" s="2">
        <v>14923.15</v>
      </c>
      <c r="O1140" s="4">
        <f t="shared" si="71"/>
        <v>1.671572033956048E-2</v>
      </c>
    </row>
    <row r="1141" spans="1:15" x14ac:dyDescent="0.25">
      <c r="A1141" s="3">
        <v>44333</v>
      </c>
      <c r="B1141" s="1">
        <v>177.75899999999999</v>
      </c>
      <c r="C1141" s="4">
        <f t="shared" si="68"/>
        <v>6.5286570105205222E-3</v>
      </c>
      <c r="E1141" s="3">
        <v>44333</v>
      </c>
      <c r="F1141" s="1">
        <v>74.91</v>
      </c>
      <c r="G1141" s="4">
        <f t="shared" si="69"/>
        <v>-1.3331555792561733E-3</v>
      </c>
      <c r="I1141" s="3">
        <v>44333</v>
      </c>
      <c r="J1141" s="1">
        <v>79.557000000000002</v>
      </c>
      <c r="K1141" s="4">
        <f t="shared" si="70"/>
        <v>1.216269513110535E-2</v>
      </c>
      <c r="M1141" s="5">
        <v>44333</v>
      </c>
      <c r="N1141" s="2">
        <v>14677.8</v>
      </c>
      <c r="O1141" s="4">
        <f t="shared" si="71"/>
        <v>-1.2724117987276129E-3</v>
      </c>
    </row>
    <row r="1142" spans="1:15" x14ac:dyDescent="0.25">
      <c r="A1142" s="3">
        <v>44330</v>
      </c>
      <c r="B1142" s="1">
        <v>176.60599999999999</v>
      </c>
      <c r="C1142" s="4">
        <f t="shared" si="68"/>
        <v>4.4819074269981662E-3</v>
      </c>
      <c r="E1142" s="3">
        <v>44330</v>
      </c>
      <c r="F1142" s="1">
        <v>75.010000000000005</v>
      </c>
      <c r="G1142" s="4">
        <f t="shared" si="69"/>
        <v>5.4959785522790128E-3</v>
      </c>
      <c r="I1142" s="3">
        <v>44330</v>
      </c>
      <c r="J1142" s="1">
        <v>78.600999999999999</v>
      </c>
      <c r="K1142" s="4">
        <f t="shared" si="70"/>
        <v>1.6922619124629668E-2</v>
      </c>
      <c r="M1142" s="5">
        <v>44330</v>
      </c>
      <c r="N1142" s="2">
        <v>14696.5</v>
      </c>
      <c r="O1142" s="4">
        <f t="shared" si="71"/>
        <v>-1.0386680807366599E-2</v>
      </c>
    </row>
    <row r="1143" spans="1:15" x14ac:dyDescent="0.25">
      <c r="A1143" s="3">
        <v>44328</v>
      </c>
      <c r="B1143" s="1">
        <v>175.81800000000001</v>
      </c>
      <c r="C1143" s="4">
        <f t="shared" si="68"/>
        <v>2.8062010198146581E-3</v>
      </c>
      <c r="E1143" s="3">
        <v>44328</v>
      </c>
      <c r="F1143" s="1">
        <v>74.599999999999994</v>
      </c>
      <c r="G1143" s="4">
        <f t="shared" si="69"/>
        <v>1.5795206971677578E-2</v>
      </c>
      <c r="I1143" s="3">
        <v>44328</v>
      </c>
      <c r="J1143" s="1">
        <v>77.293000000000006</v>
      </c>
      <c r="K1143" s="4">
        <f t="shared" si="70"/>
        <v>-6.8741327028832844E-3</v>
      </c>
      <c r="M1143" s="5">
        <v>44328</v>
      </c>
      <c r="N1143" s="2">
        <v>14850.75</v>
      </c>
      <c r="O1143" s="4">
        <f t="shared" si="71"/>
        <v>-6.1302271731019653E-3</v>
      </c>
    </row>
    <row r="1144" spans="1:15" x14ac:dyDescent="0.25">
      <c r="A1144" s="3">
        <v>44327</v>
      </c>
      <c r="B1144" s="1">
        <v>175.32599999999999</v>
      </c>
      <c r="C1144" s="4">
        <f t="shared" si="68"/>
        <v>7.6843938409898449E-3</v>
      </c>
      <c r="E1144" s="3">
        <v>44327</v>
      </c>
      <c r="F1144" s="1">
        <v>73.44</v>
      </c>
      <c r="G1144" s="4">
        <f t="shared" si="69"/>
        <v>-6.0901339829476653E-3</v>
      </c>
      <c r="I1144" s="3">
        <v>44327</v>
      </c>
      <c r="J1144" s="1">
        <v>77.828000000000003</v>
      </c>
      <c r="K1144" s="4">
        <f t="shared" si="70"/>
        <v>-8.9013969717421926E-3</v>
      </c>
      <c r="M1144" s="5">
        <v>44327</v>
      </c>
      <c r="N1144" s="2">
        <v>14942.35</v>
      </c>
      <c r="O1144" s="4">
        <f t="shared" si="71"/>
        <v>8.0414756647542163E-3</v>
      </c>
    </row>
    <row r="1145" spans="1:15" x14ac:dyDescent="0.25">
      <c r="A1145" s="3">
        <v>44326</v>
      </c>
      <c r="B1145" s="1">
        <v>173.989</v>
      </c>
      <c r="C1145" s="4">
        <f t="shared" si="68"/>
        <v>1.0277611645637341E-2</v>
      </c>
      <c r="E1145" s="3">
        <v>44326</v>
      </c>
      <c r="F1145" s="1">
        <v>73.89</v>
      </c>
      <c r="G1145" s="4">
        <f t="shared" si="69"/>
        <v>-2.7059937762141661E-4</v>
      </c>
      <c r="I1145" s="3">
        <v>44326</v>
      </c>
      <c r="J1145" s="1">
        <v>78.527000000000001</v>
      </c>
      <c r="K1145" s="4">
        <f t="shared" si="70"/>
        <v>2.0161033061543154E-3</v>
      </c>
      <c r="M1145" s="5">
        <v>44326</v>
      </c>
      <c r="N1145" s="2">
        <v>14823.15</v>
      </c>
      <c r="O1145" s="4">
        <f t="shared" si="71"/>
        <v>6.6792078669999366E-3</v>
      </c>
    </row>
    <row r="1146" spans="1:15" x14ac:dyDescent="0.25">
      <c r="A1146" s="3">
        <v>44323</v>
      </c>
      <c r="B1146" s="1">
        <v>172.21899999999999</v>
      </c>
      <c r="C1146" s="4">
        <f t="shared" si="68"/>
        <v>4.8217688339446951E-4</v>
      </c>
      <c r="E1146" s="3">
        <v>44323</v>
      </c>
      <c r="F1146" s="1">
        <v>73.91</v>
      </c>
      <c r="G1146" s="4">
        <f t="shared" si="69"/>
        <v>1.4132821075740987E-2</v>
      </c>
      <c r="I1146" s="3">
        <v>44323</v>
      </c>
      <c r="J1146" s="1">
        <v>78.369</v>
      </c>
      <c r="K1146" s="4">
        <f t="shared" si="70"/>
        <v>5.9559720172004393E-3</v>
      </c>
      <c r="M1146" s="5">
        <v>44323</v>
      </c>
      <c r="N1146" s="2">
        <v>14724.8</v>
      </c>
      <c r="O1146" s="4">
        <f t="shared" si="71"/>
        <v>7.3163974182248737E-3</v>
      </c>
    </row>
    <row r="1147" spans="1:15" x14ac:dyDescent="0.25">
      <c r="A1147" s="3">
        <v>44322</v>
      </c>
      <c r="B1147" s="1">
        <v>172.136</v>
      </c>
      <c r="C1147" s="4">
        <f t="shared" si="68"/>
        <v>4.0890133286668462E-3</v>
      </c>
      <c r="E1147" s="3">
        <v>44322</v>
      </c>
      <c r="F1147" s="1">
        <v>72.88</v>
      </c>
      <c r="G1147" s="4">
        <f t="shared" si="69"/>
        <v>1.8303758558054994E-2</v>
      </c>
      <c r="I1147" s="3">
        <v>44322</v>
      </c>
      <c r="J1147" s="1">
        <v>77.905000000000001</v>
      </c>
      <c r="K1147" s="4">
        <f t="shared" si="70"/>
        <v>6.6792544924410002E-4</v>
      </c>
      <c r="M1147" s="5">
        <v>44322</v>
      </c>
      <c r="N1147" s="2">
        <v>14617.85</v>
      </c>
      <c r="O1147" s="4">
        <f t="shared" si="71"/>
        <v>8.3709861000931252E-3</v>
      </c>
    </row>
    <row r="1148" spans="1:15" x14ac:dyDescent="0.25">
      <c r="A1148" s="3">
        <v>44321</v>
      </c>
      <c r="B1148" s="1">
        <v>171.435</v>
      </c>
      <c r="C1148" s="4">
        <f t="shared" si="68"/>
        <v>1.2568883743731885E-2</v>
      </c>
      <c r="E1148" s="3">
        <v>44321</v>
      </c>
      <c r="F1148" s="1">
        <v>71.569999999999993</v>
      </c>
      <c r="G1148" s="4">
        <f t="shared" si="69"/>
        <v>-7.2132057150785522E-3</v>
      </c>
      <c r="I1148" s="3">
        <v>44321</v>
      </c>
      <c r="J1148" s="1">
        <v>77.852999999999994</v>
      </c>
      <c r="K1148" s="4">
        <f t="shared" si="70"/>
        <v>5.6708088976153981E-3</v>
      </c>
      <c r="M1148" s="5">
        <v>44321</v>
      </c>
      <c r="N1148" s="2">
        <v>14496.5</v>
      </c>
      <c r="O1148" s="4">
        <f t="shared" si="71"/>
        <v>-9.4060809818130586E-3</v>
      </c>
    </row>
    <row r="1149" spans="1:15" x14ac:dyDescent="0.25">
      <c r="A1149" s="3">
        <v>44320</v>
      </c>
      <c r="B1149" s="1">
        <v>169.30699999999999</v>
      </c>
      <c r="C1149" s="4">
        <f t="shared" si="68"/>
        <v>1.476229292033282E-2</v>
      </c>
      <c r="E1149" s="3">
        <v>44320</v>
      </c>
      <c r="F1149" s="1">
        <v>72.09</v>
      </c>
      <c r="G1149" s="4">
        <f t="shared" si="69"/>
        <v>-8.799670012374583E-3</v>
      </c>
      <c r="I1149" s="3">
        <v>44320</v>
      </c>
      <c r="J1149" s="1">
        <v>77.414000000000001</v>
      </c>
      <c r="K1149" s="4">
        <f t="shared" si="70"/>
        <v>1.2357948972786525E-2</v>
      </c>
      <c r="M1149" s="5">
        <v>44320</v>
      </c>
      <c r="N1149" s="2">
        <v>14634.15</v>
      </c>
      <c r="O1149" s="4">
        <f t="shared" si="71"/>
        <v>2.0846006110275539E-4</v>
      </c>
    </row>
    <row r="1150" spans="1:15" x14ac:dyDescent="0.25">
      <c r="A1150" s="3">
        <v>44319</v>
      </c>
      <c r="B1150" s="1">
        <v>166.84399999999999</v>
      </c>
      <c r="C1150" s="4">
        <f t="shared" si="68"/>
        <v>-1.1423695873723161E-2</v>
      </c>
      <c r="E1150" s="3">
        <v>44319</v>
      </c>
      <c r="F1150" s="1">
        <v>72.73</v>
      </c>
      <c r="G1150" s="4">
        <f t="shared" si="69"/>
        <v>2.4810475534116083E-3</v>
      </c>
      <c r="I1150" s="3">
        <v>44319</v>
      </c>
      <c r="J1150" s="1">
        <v>76.468999999999994</v>
      </c>
      <c r="K1150" s="4">
        <f t="shared" si="70"/>
        <v>-8.5570926629414679E-3</v>
      </c>
      <c r="M1150" s="5">
        <v>44319</v>
      </c>
      <c r="N1150" s="2">
        <v>14631.1</v>
      </c>
      <c r="O1150" s="4">
        <f t="shared" si="71"/>
        <v>-1.7710760058812003E-2</v>
      </c>
    </row>
    <row r="1151" spans="1:15" x14ac:dyDescent="0.25">
      <c r="A1151" s="3">
        <v>44316</v>
      </c>
      <c r="B1151" s="1">
        <v>168.77199999999999</v>
      </c>
      <c r="C1151" s="4">
        <f t="shared" si="68"/>
        <v>-2.8713561545098409E-3</v>
      </c>
      <c r="E1151" s="3">
        <v>44316</v>
      </c>
      <c r="F1151" s="1">
        <v>72.55</v>
      </c>
      <c r="G1151" s="4">
        <f t="shared" si="69"/>
        <v>1.0868050717570021E-2</v>
      </c>
      <c r="I1151" s="3">
        <v>44316</v>
      </c>
      <c r="J1151" s="1">
        <v>77.129000000000005</v>
      </c>
      <c r="K1151" s="4">
        <f t="shared" si="70"/>
        <v>9.6035299461427748E-4</v>
      </c>
      <c r="M1151" s="5">
        <v>44316</v>
      </c>
      <c r="N1151" s="2">
        <v>14894.9</v>
      </c>
      <c r="O1151" s="4">
        <f t="shared" si="71"/>
        <v>2.0417705211392967E-3</v>
      </c>
    </row>
    <row r="1152" spans="1:15" x14ac:dyDescent="0.25">
      <c r="A1152" s="3">
        <v>44315</v>
      </c>
      <c r="B1152" s="1">
        <v>169.25800000000001</v>
      </c>
      <c r="C1152" s="4">
        <f t="shared" si="68"/>
        <v>5.656364003659986E-3</v>
      </c>
      <c r="E1152" s="3">
        <v>44315</v>
      </c>
      <c r="F1152" s="1">
        <v>71.77</v>
      </c>
      <c r="G1152" s="4">
        <f t="shared" si="69"/>
        <v>5.4637153264218696E-3</v>
      </c>
      <c r="I1152" s="3">
        <v>44315</v>
      </c>
      <c r="J1152" s="1">
        <v>77.055000000000007</v>
      </c>
      <c r="K1152" s="4">
        <f t="shared" si="70"/>
        <v>-1.3759119416357213E-2</v>
      </c>
      <c r="M1152" s="5">
        <v>44315</v>
      </c>
      <c r="N1152" s="2">
        <v>14864.55</v>
      </c>
      <c r="O1152" s="4">
        <f t="shared" si="71"/>
        <v>1.4433855067716328E-2</v>
      </c>
    </row>
    <row r="1153" spans="1:15" x14ac:dyDescent="0.25">
      <c r="A1153" s="3">
        <v>44314</v>
      </c>
      <c r="B1153" s="1">
        <v>168.30600000000001</v>
      </c>
      <c r="C1153" s="4">
        <f t="shared" si="68"/>
        <v>5.8147526190293064E-3</v>
      </c>
      <c r="E1153" s="3">
        <v>44314</v>
      </c>
      <c r="F1153" s="1">
        <v>71.38</v>
      </c>
      <c r="G1153" s="4">
        <f t="shared" si="69"/>
        <v>8.6194715274834355E-3</v>
      </c>
      <c r="I1153" s="3">
        <v>44314</v>
      </c>
      <c r="J1153" s="1">
        <v>78.13</v>
      </c>
      <c r="K1153" s="4">
        <f t="shared" si="70"/>
        <v>3.8412291933420661E-4</v>
      </c>
      <c r="M1153" s="5">
        <v>44314</v>
      </c>
      <c r="N1153" s="2">
        <v>14653.05</v>
      </c>
      <c r="O1153" s="4">
        <f t="shared" si="71"/>
        <v>1.1601656886434109E-2</v>
      </c>
    </row>
    <row r="1154" spans="1:15" x14ac:dyDescent="0.25">
      <c r="A1154" s="3">
        <v>44313</v>
      </c>
      <c r="B1154" s="1">
        <v>167.333</v>
      </c>
      <c r="C1154" s="4">
        <f t="shared" si="68"/>
        <v>4.206875030006163E-3</v>
      </c>
      <c r="E1154" s="3">
        <v>44313</v>
      </c>
      <c r="F1154" s="1">
        <v>70.77</v>
      </c>
      <c r="G1154" s="4">
        <f t="shared" si="69"/>
        <v>1.215675057208232E-2</v>
      </c>
      <c r="I1154" s="3">
        <v>44313</v>
      </c>
      <c r="J1154" s="1">
        <v>78.099999999999994</v>
      </c>
      <c r="K1154" s="4">
        <f t="shared" si="70"/>
        <v>1.2221833404616467E-2</v>
      </c>
      <c r="M1154" s="5">
        <v>44313</v>
      </c>
      <c r="N1154" s="2">
        <v>14485</v>
      </c>
      <c r="O1154" s="4">
        <f t="shared" si="71"/>
        <v>1.0016490776670217E-2</v>
      </c>
    </row>
    <row r="1155" spans="1:15" x14ac:dyDescent="0.25">
      <c r="A1155" s="3">
        <v>44312</v>
      </c>
      <c r="B1155" s="1">
        <v>166.63200000000001</v>
      </c>
      <c r="C1155" s="4">
        <f t="shared" ref="C1155:C1218" si="72">(B1155/B1156)-1</f>
        <v>2.8044244911715754E-3</v>
      </c>
      <c r="E1155" s="3">
        <v>44312</v>
      </c>
      <c r="F1155" s="1">
        <v>69.92</v>
      </c>
      <c r="G1155" s="4">
        <f t="shared" ref="G1155:G1218" si="73">(F1155/F1156)-1</f>
        <v>-7.5230660042583386E-3</v>
      </c>
      <c r="I1155" s="3">
        <v>44312</v>
      </c>
      <c r="J1155" s="1">
        <v>77.156999999999996</v>
      </c>
      <c r="K1155" s="4">
        <f t="shared" ref="K1155:K1218" si="74">(J1155/J1156)-1</f>
        <v>1.2678662834192833E-2</v>
      </c>
      <c r="M1155" s="5">
        <v>44312</v>
      </c>
      <c r="N1155" s="2">
        <v>14341.35</v>
      </c>
      <c r="O1155" s="4">
        <f t="shared" ref="O1155:O1218" si="75">(N1155/N1156)-1</f>
        <v>-4.4980789454502901E-3</v>
      </c>
    </row>
    <row r="1156" spans="1:15" x14ac:dyDescent="0.25">
      <c r="A1156" s="3">
        <v>44309</v>
      </c>
      <c r="B1156" s="1">
        <v>166.166</v>
      </c>
      <c r="C1156" s="4">
        <f t="shared" si="72"/>
        <v>1.3510134125439999E-2</v>
      </c>
      <c r="E1156" s="3">
        <v>44309</v>
      </c>
      <c r="F1156" s="1">
        <v>70.45</v>
      </c>
      <c r="G1156" s="4">
        <f t="shared" si="73"/>
        <v>9.9460073884638511E-4</v>
      </c>
      <c r="I1156" s="3">
        <v>44309</v>
      </c>
      <c r="J1156" s="1">
        <v>76.191000000000003</v>
      </c>
      <c r="K1156" s="4">
        <f t="shared" si="74"/>
        <v>9.2993681198585421E-3</v>
      </c>
      <c r="M1156" s="5">
        <v>44309</v>
      </c>
      <c r="N1156" s="2">
        <v>14406.15</v>
      </c>
      <c r="O1156" s="4">
        <f t="shared" si="75"/>
        <v>7.6767577851766244E-3</v>
      </c>
    </row>
    <row r="1157" spans="1:15" x14ac:dyDescent="0.25">
      <c r="A1157" s="3">
        <v>44308</v>
      </c>
      <c r="B1157" s="1">
        <v>163.95099999999999</v>
      </c>
      <c r="C1157" s="4">
        <f t="shared" si="72"/>
        <v>1.1541138969968223E-3</v>
      </c>
      <c r="E1157" s="3">
        <v>44308</v>
      </c>
      <c r="F1157" s="1">
        <v>70.38</v>
      </c>
      <c r="G1157" s="4">
        <f t="shared" si="73"/>
        <v>-1.0265785402897021E-2</v>
      </c>
      <c r="I1157" s="3">
        <v>44308</v>
      </c>
      <c r="J1157" s="1">
        <v>75.489000000000004</v>
      </c>
      <c r="K1157" s="4">
        <f t="shared" si="74"/>
        <v>-2.6028591813546109E-3</v>
      </c>
      <c r="M1157" s="5">
        <v>44308</v>
      </c>
      <c r="N1157" s="2">
        <v>14296.4</v>
      </c>
      <c r="O1157" s="4">
        <f t="shared" si="75"/>
        <v>-4.3908366963916201E-3</v>
      </c>
    </row>
    <row r="1158" spans="1:15" x14ac:dyDescent="0.25">
      <c r="A1158" s="3">
        <v>44306</v>
      </c>
      <c r="B1158" s="1">
        <v>163.762</v>
      </c>
      <c r="C1158" s="4">
        <f t="shared" si="72"/>
        <v>6.2737724359565039E-3</v>
      </c>
      <c r="E1158" s="3">
        <v>44306</v>
      </c>
      <c r="F1158" s="1">
        <v>71.11</v>
      </c>
      <c r="G1158" s="4">
        <f t="shared" si="73"/>
        <v>2.8204766605557374E-3</v>
      </c>
      <c r="I1158" s="3">
        <v>44306</v>
      </c>
      <c r="J1158" s="1">
        <v>75.686000000000007</v>
      </c>
      <c r="K1158" s="4">
        <f t="shared" si="74"/>
        <v>3.1943800119293986E-3</v>
      </c>
      <c r="M1158" s="5">
        <v>44306</v>
      </c>
      <c r="N1158" s="2">
        <v>14359.45</v>
      </c>
      <c r="O1158" s="4">
        <f t="shared" si="75"/>
        <v>-1.5224823320040159E-2</v>
      </c>
    </row>
    <row r="1159" spans="1:15" x14ac:dyDescent="0.25">
      <c r="A1159" s="3">
        <v>44305</v>
      </c>
      <c r="B1159" s="1">
        <v>162.74100000000001</v>
      </c>
      <c r="C1159" s="4">
        <f t="shared" si="72"/>
        <v>-4.4412633742589858E-3</v>
      </c>
      <c r="E1159" s="3">
        <v>44305</v>
      </c>
      <c r="F1159" s="1">
        <v>70.91</v>
      </c>
      <c r="G1159" s="4">
        <f t="shared" si="73"/>
        <v>1.1266400456360515E-2</v>
      </c>
      <c r="I1159" s="3">
        <v>44305</v>
      </c>
      <c r="J1159" s="1">
        <v>75.444999999999993</v>
      </c>
      <c r="K1159" s="4">
        <f t="shared" si="74"/>
        <v>3.8453378593406029E-4</v>
      </c>
      <c r="M1159" s="5">
        <v>44305</v>
      </c>
      <c r="N1159" s="2">
        <v>14581.45</v>
      </c>
      <c r="O1159" s="4">
        <f t="shared" si="75"/>
        <v>5.2844575588770759E-3</v>
      </c>
    </row>
    <row r="1160" spans="1:15" x14ac:dyDescent="0.25">
      <c r="A1160" s="3">
        <v>44301</v>
      </c>
      <c r="B1160" s="1">
        <v>163.46700000000001</v>
      </c>
      <c r="C1160" s="4">
        <f t="shared" si="72"/>
        <v>-5.7470912992707568E-4</v>
      </c>
      <c r="E1160" s="3">
        <v>44301</v>
      </c>
      <c r="F1160" s="1">
        <v>70.12</v>
      </c>
      <c r="G1160" s="4">
        <f t="shared" si="73"/>
        <v>1.1832611832611972E-2</v>
      </c>
      <c r="I1160" s="3">
        <v>44301</v>
      </c>
      <c r="J1160" s="1">
        <v>75.415999999999997</v>
      </c>
      <c r="K1160" s="4">
        <f t="shared" si="74"/>
        <v>-1.2646958707549061E-2</v>
      </c>
      <c r="M1160" s="5">
        <v>44301</v>
      </c>
      <c r="N1160" s="2">
        <v>14504.8</v>
      </c>
      <c r="O1160" s="4">
        <f t="shared" si="75"/>
        <v>1.3556195321016373E-2</v>
      </c>
    </row>
    <row r="1161" spans="1:15" x14ac:dyDescent="0.25">
      <c r="A1161" s="3">
        <v>44299</v>
      </c>
      <c r="B1161" s="1">
        <v>163.56100000000001</v>
      </c>
      <c r="C1161" s="4">
        <f t="shared" si="72"/>
        <v>1.1652863425224425E-2</v>
      </c>
      <c r="E1161" s="3">
        <v>44299</v>
      </c>
      <c r="F1161" s="1">
        <v>69.3</v>
      </c>
      <c r="G1161" s="4">
        <f t="shared" si="73"/>
        <v>1.1826544021025009E-2</v>
      </c>
      <c r="I1161" s="3">
        <v>44299</v>
      </c>
      <c r="J1161" s="1">
        <v>76.382000000000005</v>
      </c>
      <c r="K1161" s="4">
        <f t="shared" si="74"/>
        <v>2.5858108551553016E-3</v>
      </c>
      <c r="M1161" s="5">
        <v>44299</v>
      </c>
      <c r="N1161" s="2">
        <v>14310.8</v>
      </c>
      <c r="O1161" s="4">
        <f t="shared" si="75"/>
        <v>-3.5325601539617946E-2</v>
      </c>
    </row>
    <row r="1162" spans="1:15" x14ac:dyDescent="0.25">
      <c r="A1162" s="3">
        <v>44298</v>
      </c>
      <c r="B1162" s="1">
        <v>161.67699999999999</v>
      </c>
      <c r="C1162" s="4">
        <f t="shared" si="72"/>
        <v>8.9803916673947271E-3</v>
      </c>
      <c r="E1162" s="3">
        <v>44298</v>
      </c>
      <c r="F1162" s="1">
        <v>68.489999999999995</v>
      </c>
      <c r="G1162" s="4">
        <f t="shared" si="73"/>
        <v>-1.312335958005284E-3</v>
      </c>
      <c r="I1162" s="3">
        <v>44298</v>
      </c>
      <c r="J1162" s="1">
        <v>76.185000000000002</v>
      </c>
      <c r="K1162" s="4">
        <f t="shared" si="74"/>
        <v>1.3367916999201812E-2</v>
      </c>
      <c r="M1162" s="5">
        <v>44298</v>
      </c>
      <c r="N1162" s="2">
        <v>14834.85</v>
      </c>
      <c r="O1162" s="4">
        <f t="shared" si="75"/>
        <v>-2.6186986513196953E-3</v>
      </c>
    </row>
    <row r="1163" spans="1:15" x14ac:dyDescent="0.25">
      <c r="A1163" s="3">
        <v>44295</v>
      </c>
      <c r="B1163" s="1">
        <v>160.238</v>
      </c>
      <c r="C1163" s="4">
        <f t="shared" si="72"/>
        <v>1.2549604428379935E-2</v>
      </c>
      <c r="E1163" s="3">
        <v>44295</v>
      </c>
      <c r="F1163" s="1">
        <v>68.58</v>
      </c>
      <c r="G1163" s="4">
        <f t="shared" si="73"/>
        <v>1.0461175777221055E-2</v>
      </c>
      <c r="I1163" s="3">
        <v>44295</v>
      </c>
      <c r="J1163" s="1">
        <v>75.180000000000007</v>
      </c>
      <c r="K1163" s="4">
        <f t="shared" si="74"/>
        <v>-4.135266439692431E-2</v>
      </c>
      <c r="M1163" s="5">
        <v>44295</v>
      </c>
      <c r="N1163" s="2">
        <v>14873.8</v>
      </c>
      <c r="O1163" s="4">
        <f t="shared" si="75"/>
        <v>3.6945688151399647E-3</v>
      </c>
    </row>
    <row r="1164" spans="1:15" x14ac:dyDescent="0.25">
      <c r="A1164" s="3">
        <v>44294</v>
      </c>
      <c r="B1164" s="1">
        <v>158.25200000000001</v>
      </c>
      <c r="C1164" s="4">
        <f t="shared" si="72"/>
        <v>1.8168581647832749E-3</v>
      </c>
      <c r="E1164" s="3">
        <v>44294</v>
      </c>
      <c r="F1164" s="1">
        <v>67.87</v>
      </c>
      <c r="G1164" s="4">
        <f t="shared" si="73"/>
        <v>0</v>
      </c>
      <c r="I1164" s="3">
        <v>44294</v>
      </c>
      <c r="J1164" s="1">
        <v>78.423000000000002</v>
      </c>
      <c r="K1164" s="4">
        <f t="shared" si="74"/>
        <v>-2.6198985107276362E-3</v>
      </c>
      <c r="M1164" s="5">
        <v>44294</v>
      </c>
      <c r="N1164" s="2">
        <v>14819.05</v>
      </c>
      <c r="O1164" s="4">
        <f t="shared" si="75"/>
        <v>9.2314502673067622E-3</v>
      </c>
    </row>
    <row r="1165" spans="1:15" x14ac:dyDescent="0.25">
      <c r="A1165" s="3">
        <v>44293</v>
      </c>
      <c r="B1165" s="1">
        <v>157.965</v>
      </c>
      <c r="C1165" s="4">
        <f t="shared" si="72"/>
        <v>5.0774017446411079E-3</v>
      </c>
      <c r="E1165" s="3">
        <v>44293</v>
      </c>
      <c r="F1165" s="1">
        <v>67.87</v>
      </c>
      <c r="G1165" s="4">
        <f t="shared" si="73"/>
        <v>-1.4090644973852373E-2</v>
      </c>
      <c r="I1165" s="3">
        <v>44293</v>
      </c>
      <c r="J1165" s="1">
        <v>78.629000000000005</v>
      </c>
      <c r="K1165" s="4">
        <f t="shared" si="74"/>
        <v>4.9205050866520939E-3</v>
      </c>
      <c r="M1165" s="5">
        <v>44293</v>
      </c>
      <c r="N1165" s="2">
        <v>14683.5</v>
      </c>
      <c r="O1165" s="4">
        <f t="shared" si="75"/>
        <v>3.1220538605529757E-3</v>
      </c>
    </row>
    <row r="1166" spans="1:15" x14ac:dyDescent="0.25">
      <c r="A1166" s="3">
        <v>44292</v>
      </c>
      <c r="B1166" s="1">
        <v>157.167</v>
      </c>
      <c r="C1166" s="4">
        <f t="shared" si="72"/>
        <v>3.5758299437445018E-3</v>
      </c>
      <c r="E1166" s="3">
        <v>44292</v>
      </c>
      <c r="F1166" s="1">
        <v>68.84</v>
      </c>
      <c r="G1166" s="4">
        <f t="shared" si="73"/>
        <v>5.8139534883738797E-4</v>
      </c>
      <c r="I1166" s="3">
        <v>44292</v>
      </c>
      <c r="J1166" s="1">
        <v>78.244</v>
      </c>
      <c r="K1166" s="4">
        <f t="shared" si="74"/>
        <v>1.0264819429560035E-2</v>
      </c>
      <c r="M1166" s="5">
        <v>44292</v>
      </c>
      <c r="N1166" s="2">
        <v>14637.8</v>
      </c>
      <c r="O1166" s="4">
        <f t="shared" si="75"/>
        <v>-1.5439873279367244E-2</v>
      </c>
    </row>
    <row r="1167" spans="1:15" x14ac:dyDescent="0.25">
      <c r="A1167" s="3">
        <v>44291</v>
      </c>
      <c r="B1167" s="1">
        <v>156.607</v>
      </c>
      <c r="C1167" s="4">
        <f t="shared" si="72"/>
        <v>-1.5848776778588425E-2</v>
      </c>
      <c r="E1167" s="3">
        <v>44291</v>
      </c>
      <c r="F1167" s="1">
        <v>68.8</v>
      </c>
      <c r="G1167" s="4">
        <f t="shared" si="73"/>
        <v>1.5498154981549828E-2</v>
      </c>
      <c r="I1167" s="3">
        <v>44291</v>
      </c>
      <c r="J1167" s="1">
        <v>77.448999999999998</v>
      </c>
      <c r="K1167" s="4">
        <f t="shared" si="74"/>
        <v>7.7476337435378184E-5</v>
      </c>
      <c r="M1167" s="5">
        <v>44291</v>
      </c>
      <c r="N1167" s="2">
        <v>14867.35</v>
      </c>
      <c r="O1167" s="4">
        <f t="shared" si="75"/>
        <v>1.2024614211712192E-2</v>
      </c>
    </row>
    <row r="1168" spans="1:15" x14ac:dyDescent="0.25">
      <c r="A1168" s="3">
        <v>44287</v>
      </c>
      <c r="B1168" s="1">
        <v>159.12899999999999</v>
      </c>
      <c r="C1168" s="4">
        <f t="shared" si="72"/>
        <v>7.609680016098519E-4</v>
      </c>
      <c r="E1168" s="3">
        <v>44287</v>
      </c>
      <c r="F1168" s="1">
        <v>67.75</v>
      </c>
      <c r="G1168" s="4">
        <f t="shared" si="73"/>
        <v>-4.4159142212189528E-2</v>
      </c>
      <c r="I1168" s="3">
        <v>44287</v>
      </c>
      <c r="J1168" s="1">
        <v>77.442999999999998</v>
      </c>
      <c r="K1168" s="4">
        <f t="shared" si="74"/>
        <v>-1.5271349371853038E-2</v>
      </c>
      <c r="M1168" s="5">
        <v>44287</v>
      </c>
      <c r="N1168" s="2">
        <v>14690.7</v>
      </c>
      <c r="O1168" s="4">
        <f t="shared" si="75"/>
        <v>-1.0400738290749056E-2</v>
      </c>
    </row>
    <row r="1169" spans="1:15" x14ac:dyDescent="0.25">
      <c r="A1169" s="3">
        <v>44286</v>
      </c>
      <c r="B1169" s="1">
        <v>159.00800000000001</v>
      </c>
      <c r="C1169" s="4">
        <f t="shared" si="72"/>
        <v>1.5798383748043543E-2</v>
      </c>
      <c r="E1169" s="3">
        <v>44286</v>
      </c>
      <c r="F1169" s="1">
        <v>70.88</v>
      </c>
      <c r="G1169" s="4">
        <f t="shared" si="73"/>
        <v>-4.3545441775530991E-3</v>
      </c>
      <c r="I1169" s="3">
        <v>44286</v>
      </c>
      <c r="J1169" s="1">
        <v>78.644000000000005</v>
      </c>
      <c r="K1169" s="4">
        <f t="shared" si="74"/>
        <v>1.2918432271609159E-2</v>
      </c>
      <c r="M1169" s="5">
        <v>44286</v>
      </c>
      <c r="N1169" s="2">
        <v>14845.1</v>
      </c>
      <c r="O1169" s="4">
        <f t="shared" si="75"/>
        <v>2.3284829017115705E-2</v>
      </c>
    </row>
    <row r="1170" spans="1:15" x14ac:dyDescent="0.25">
      <c r="A1170" s="3">
        <v>44285</v>
      </c>
      <c r="B1170" s="1">
        <v>156.535</v>
      </c>
      <c r="C1170" s="4">
        <f t="shared" si="72"/>
        <v>-4.2698924270870964E-2</v>
      </c>
      <c r="E1170" s="3">
        <v>44285</v>
      </c>
      <c r="F1170" s="1">
        <v>71.19</v>
      </c>
      <c r="G1170" s="4">
        <f t="shared" si="73"/>
        <v>4.7988708539168368E-3</v>
      </c>
      <c r="I1170" s="3">
        <v>44285</v>
      </c>
      <c r="J1170" s="1">
        <v>77.641000000000005</v>
      </c>
      <c r="K1170" s="4">
        <f t="shared" si="74"/>
        <v>-4.3345003141870286E-3</v>
      </c>
      <c r="M1170" s="5">
        <v>44285</v>
      </c>
      <c r="N1170" s="2">
        <v>14507.3</v>
      </c>
      <c r="O1170" s="4">
        <f t="shared" si="75"/>
        <v>1.2733073180266397E-2</v>
      </c>
    </row>
    <row r="1171" spans="1:15" x14ac:dyDescent="0.25">
      <c r="A1171" s="3">
        <v>44281</v>
      </c>
      <c r="B1171" s="1">
        <v>163.517</v>
      </c>
      <c r="C1171" s="4">
        <f t="shared" si="72"/>
        <v>-1.9044247355475274E-3</v>
      </c>
      <c r="E1171" s="3">
        <v>44281</v>
      </c>
      <c r="F1171" s="1">
        <v>70.849999999999994</v>
      </c>
      <c r="G1171" s="4">
        <f t="shared" si="73"/>
        <v>1.0699001426533572E-2</v>
      </c>
      <c r="I1171" s="3">
        <v>44281</v>
      </c>
      <c r="J1171" s="1">
        <v>77.978999999999999</v>
      </c>
      <c r="K1171" s="4">
        <f t="shared" si="74"/>
        <v>2.1804363493415524E-2</v>
      </c>
      <c r="M1171" s="5">
        <v>44281</v>
      </c>
      <c r="N1171" s="2">
        <v>14324.9</v>
      </c>
      <c r="O1171" s="4">
        <f t="shared" si="75"/>
        <v>-1.5430189561081553E-2</v>
      </c>
    </row>
    <row r="1172" spans="1:15" x14ac:dyDescent="0.25">
      <c r="A1172" s="3">
        <v>44280</v>
      </c>
      <c r="B1172" s="1">
        <v>163.82900000000001</v>
      </c>
      <c r="C1172" s="4">
        <f t="shared" si="72"/>
        <v>7.4778769225092301E-3</v>
      </c>
      <c r="E1172" s="3">
        <v>44280</v>
      </c>
      <c r="F1172" s="1">
        <v>70.099999999999994</v>
      </c>
      <c r="G1172" s="4">
        <f t="shared" si="73"/>
        <v>-1.4245014245015675E-3</v>
      </c>
      <c r="I1172" s="3">
        <v>44280</v>
      </c>
      <c r="J1172" s="1">
        <v>76.314999999999998</v>
      </c>
      <c r="K1172" s="4">
        <f t="shared" si="74"/>
        <v>1.1410925862114674E-2</v>
      </c>
      <c r="M1172" s="5">
        <v>44280</v>
      </c>
      <c r="N1172" s="2">
        <v>14549.4</v>
      </c>
      <c r="O1172" s="4">
        <f t="shared" si="75"/>
        <v>-1.7911203361514749E-2</v>
      </c>
    </row>
    <row r="1173" spans="1:15" x14ac:dyDescent="0.25">
      <c r="A1173" s="3">
        <v>44279</v>
      </c>
      <c r="B1173" s="1">
        <v>162.613</v>
      </c>
      <c r="C1173" s="4">
        <f t="shared" si="72"/>
        <v>1.0257079310644901E-2</v>
      </c>
      <c r="E1173" s="3">
        <v>44279</v>
      </c>
      <c r="F1173" s="1">
        <v>70.2</v>
      </c>
      <c r="G1173" s="4">
        <f t="shared" si="73"/>
        <v>-1.5703869882220833E-2</v>
      </c>
      <c r="I1173" s="3">
        <v>44279</v>
      </c>
      <c r="J1173" s="1">
        <v>75.453999999999994</v>
      </c>
      <c r="K1173" s="4">
        <f t="shared" si="74"/>
        <v>-1.5166544847029395E-2</v>
      </c>
      <c r="M1173" s="5">
        <v>44279</v>
      </c>
      <c r="N1173" s="2">
        <v>14814.75</v>
      </c>
      <c r="O1173" s="4">
        <f t="shared" si="75"/>
        <v>5.3167666458564522E-3</v>
      </c>
    </row>
    <row r="1174" spans="1:15" x14ac:dyDescent="0.25">
      <c r="A1174" s="3">
        <v>44278</v>
      </c>
      <c r="B1174" s="1">
        <v>160.96199999999999</v>
      </c>
      <c r="C1174" s="4">
        <f t="shared" si="72"/>
        <v>1.6615327172593286E-3</v>
      </c>
      <c r="E1174" s="3">
        <v>44278</v>
      </c>
      <c r="F1174" s="1">
        <v>71.319999999999993</v>
      </c>
      <c r="G1174" s="4">
        <f t="shared" si="73"/>
        <v>1.5954415954415824E-2</v>
      </c>
      <c r="I1174" s="3">
        <v>44278</v>
      </c>
      <c r="J1174" s="1">
        <v>76.616</v>
      </c>
      <c r="K1174" s="4">
        <f t="shared" si="74"/>
        <v>-1.8900783691031098E-2</v>
      </c>
      <c r="M1174" s="5">
        <v>44278</v>
      </c>
      <c r="N1174" s="2">
        <v>14736.4</v>
      </c>
      <c r="O1174" s="4">
        <f t="shared" si="75"/>
        <v>-5.1546391752577136E-4</v>
      </c>
    </row>
    <row r="1175" spans="1:15" x14ac:dyDescent="0.25">
      <c r="A1175" s="3">
        <v>44277</v>
      </c>
      <c r="B1175" s="1">
        <v>160.69499999999999</v>
      </c>
      <c r="C1175" s="4">
        <f t="shared" si="72"/>
        <v>-1.6506316098707452E-2</v>
      </c>
      <c r="E1175" s="3">
        <v>44277</v>
      </c>
      <c r="F1175" s="1">
        <v>70.2</v>
      </c>
      <c r="G1175" s="4">
        <f t="shared" si="73"/>
        <v>-6.5100481177469138E-3</v>
      </c>
      <c r="I1175" s="3">
        <v>44277</v>
      </c>
      <c r="J1175" s="1">
        <v>78.091999999999999</v>
      </c>
      <c r="K1175" s="4">
        <f t="shared" si="74"/>
        <v>8.8884295385251999E-3</v>
      </c>
      <c r="M1175" s="5">
        <v>44277</v>
      </c>
      <c r="N1175" s="2">
        <v>14744</v>
      </c>
      <c r="O1175" s="4">
        <f t="shared" si="75"/>
        <v>1.2786915650319308E-2</v>
      </c>
    </row>
    <row r="1176" spans="1:15" x14ac:dyDescent="0.25">
      <c r="A1176" s="3">
        <v>44274</v>
      </c>
      <c r="B1176" s="1">
        <v>163.392</v>
      </c>
      <c r="C1176" s="4">
        <f t="shared" si="72"/>
        <v>1.2342007434944069E-2</v>
      </c>
      <c r="E1176" s="3">
        <v>44274</v>
      </c>
      <c r="F1176" s="1">
        <v>70.66</v>
      </c>
      <c r="G1176" s="4">
        <f t="shared" si="73"/>
        <v>1.669064748201432E-2</v>
      </c>
      <c r="I1176" s="3">
        <v>44274</v>
      </c>
      <c r="J1176" s="1">
        <v>77.403999999999996</v>
      </c>
      <c r="K1176" s="4">
        <f t="shared" si="74"/>
        <v>-9.2932004749857189E-4</v>
      </c>
      <c r="M1176" s="5">
        <v>44274</v>
      </c>
      <c r="N1176" s="2">
        <v>14557.85</v>
      </c>
      <c r="O1176" s="4">
        <f t="shared" si="75"/>
        <v>-1.1102959657095401E-2</v>
      </c>
    </row>
    <row r="1177" spans="1:15" x14ac:dyDescent="0.25">
      <c r="A1177" s="3">
        <v>44273</v>
      </c>
      <c r="B1177" s="1">
        <v>161.4</v>
      </c>
      <c r="C1177" s="4">
        <f t="shared" si="72"/>
        <v>4.5184659621344547E-3</v>
      </c>
      <c r="E1177" s="3">
        <v>44273</v>
      </c>
      <c r="F1177" s="1">
        <v>69.5</v>
      </c>
      <c r="G1177" s="4">
        <f t="shared" si="73"/>
        <v>1.297186998979738E-2</v>
      </c>
      <c r="I1177" s="3">
        <v>44273</v>
      </c>
      <c r="J1177" s="1">
        <v>77.475999999999999</v>
      </c>
      <c r="K1177" s="4">
        <f t="shared" si="74"/>
        <v>1.059167275383488E-2</v>
      </c>
      <c r="M1177" s="5">
        <v>44273</v>
      </c>
      <c r="N1177" s="2">
        <v>14721.3</v>
      </c>
      <c r="O1177" s="4">
        <f t="shared" si="75"/>
        <v>-1.2685733830971047E-2</v>
      </c>
    </row>
    <row r="1178" spans="1:15" x14ac:dyDescent="0.25">
      <c r="A1178" s="3">
        <v>44272</v>
      </c>
      <c r="B1178" s="1">
        <v>160.67400000000001</v>
      </c>
      <c r="C1178" s="4">
        <f t="shared" si="72"/>
        <v>1.3901597137646604E-2</v>
      </c>
      <c r="E1178" s="3">
        <v>44272</v>
      </c>
      <c r="F1178" s="1">
        <v>68.61</v>
      </c>
      <c r="G1178" s="4">
        <f t="shared" si="73"/>
        <v>-1.2521588946459494E-2</v>
      </c>
      <c r="I1178" s="3">
        <v>44272</v>
      </c>
      <c r="J1178" s="1">
        <v>76.664000000000001</v>
      </c>
      <c r="K1178" s="4">
        <f t="shared" si="74"/>
        <v>-9.3170511080958862E-3</v>
      </c>
      <c r="M1178" s="5">
        <v>44272</v>
      </c>
      <c r="N1178" s="2">
        <v>14910.45</v>
      </c>
      <c r="O1178" s="4">
        <f t="shared" si="75"/>
        <v>-1.2759971867778441E-3</v>
      </c>
    </row>
    <row r="1179" spans="1:15" x14ac:dyDescent="0.25">
      <c r="A1179" s="3">
        <v>44271</v>
      </c>
      <c r="B1179" s="1">
        <v>158.471</v>
      </c>
      <c r="C1179" s="4">
        <f t="shared" si="72"/>
        <v>1.1656931277729932E-2</v>
      </c>
      <c r="E1179" s="3">
        <v>44271</v>
      </c>
      <c r="F1179" s="1">
        <v>69.48</v>
      </c>
      <c r="G1179" s="4">
        <f t="shared" si="73"/>
        <v>-1.9751693002257209E-2</v>
      </c>
      <c r="I1179" s="3">
        <v>44271</v>
      </c>
      <c r="J1179" s="1">
        <v>77.385000000000005</v>
      </c>
      <c r="K1179" s="4">
        <f t="shared" si="74"/>
        <v>-1.7495524548328478E-2</v>
      </c>
      <c r="M1179" s="5">
        <v>44271</v>
      </c>
      <c r="N1179" s="2">
        <v>14929.5</v>
      </c>
      <c r="O1179" s="4">
        <f t="shared" si="75"/>
        <v>-6.7494070567729603E-3</v>
      </c>
    </row>
    <row r="1180" spans="1:15" x14ac:dyDescent="0.25">
      <c r="A1180" s="3">
        <v>44270</v>
      </c>
      <c r="B1180" s="1">
        <v>156.64500000000001</v>
      </c>
      <c r="C1180" s="4">
        <f t="shared" si="72"/>
        <v>-1.5473863500663043E-2</v>
      </c>
      <c r="E1180" s="3">
        <v>44270</v>
      </c>
      <c r="F1180" s="1">
        <v>70.88</v>
      </c>
      <c r="G1180" s="4">
        <f t="shared" si="73"/>
        <v>7.9635949943117623E-3</v>
      </c>
      <c r="I1180" s="3">
        <v>44270</v>
      </c>
      <c r="J1180" s="1">
        <v>78.763000000000005</v>
      </c>
      <c r="K1180" s="4">
        <f t="shared" si="74"/>
        <v>1.6022991721453828E-3</v>
      </c>
      <c r="M1180" s="5">
        <v>44270</v>
      </c>
      <c r="N1180" s="2">
        <v>15030.95</v>
      </c>
      <c r="O1180" s="4">
        <f t="shared" si="75"/>
        <v>-9.4795318554444785E-3</v>
      </c>
    </row>
    <row r="1181" spans="1:15" x14ac:dyDescent="0.25">
      <c r="A1181" s="3">
        <v>44267</v>
      </c>
      <c r="B1181" s="1">
        <v>159.107</v>
      </c>
      <c r="C1181" s="4">
        <f t="shared" si="72"/>
        <v>-1.6169723352419618E-2</v>
      </c>
      <c r="E1181" s="3">
        <v>44267</v>
      </c>
      <c r="F1181" s="1">
        <v>70.319999999999993</v>
      </c>
      <c r="G1181" s="4">
        <f t="shared" si="73"/>
        <v>-2.843332385557007E-4</v>
      </c>
      <c r="I1181" s="3">
        <v>44267</v>
      </c>
      <c r="J1181" s="1">
        <v>78.637</v>
      </c>
      <c r="K1181" s="4">
        <f t="shared" si="74"/>
        <v>-7.8727242906346806E-3</v>
      </c>
      <c r="M1181" s="5">
        <v>44267</v>
      </c>
      <c r="N1181" s="2">
        <v>15174.8</v>
      </c>
      <c r="O1181" s="4">
        <f t="shared" si="75"/>
        <v>5.0601388226567678E-3</v>
      </c>
    </row>
    <row r="1182" spans="1:15" x14ac:dyDescent="0.25">
      <c r="A1182" s="3">
        <v>44265</v>
      </c>
      <c r="B1182" s="1">
        <v>161.72200000000001</v>
      </c>
      <c r="C1182" s="4">
        <f t="shared" si="72"/>
        <v>3.9606664845670547E-3</v>
      </c>
      <c r="E1182" s="3">
        <v>44265</v>
      </c>
      <c r="F1182" s="1">
        <v>70.34</v>
      </c>
      <c r="G1182" s="4">
        <f t="shared" si="73"/>
        <v>1.1067989075751239E-2</v>
      </c>
      <c r="I1182" s="3">
        <v>44265</v>
      </c>
      <c r="J1182" s="1">
        <v>79.260999999999996</v>
      </c>
      <c r="K1182" s="4">
        <f t="shared" si="74"/>
        <v>-8.084398112806146E-3</v>
      </c>
      <c r="M1182" s="5">
        <v>44265</v>
      </c>
      <c r="N1182" s="2">
        <v>15098.4</v>
      </c>
      <c r="O1182" s="4">
        <f t="shared" si="75"/>
        <v>9.5077626669874959E-3</v>
      </c>
    </row>
    <row r="1183" spans="1:15" x14ac:dyDescent="0.25">
      <c r="A1183" s="3">
        <v>44264</v>
      </c>
      <c r="B1183" s="1">
        <v>161.084</v>
      </c>
      <c r="C1183" s="4">
        <f t="shared" si="72"/>
        <v>3.7824735008755717E-3</v>
      </c>
      <c r="E1183" s="3">
        <v>44264</v>
      </c>
      <c r="F1183" s="1">
        <v>69.569999999999993</v>
      </c>
      <c r="G1183" s="4">
        <f t="shared" si="73"/>
        <v>-1.4449638759031158E-2</v>
      </c>
      <c r="I1183" s="3">
        <v>44264</v>
      </c>
      <c r="J1183" s="1">
        <v>79.906999999999996</v>
      </c>
      <c r="K1183" s="4">
        <f t="shared" si="74"/>
        <v>7.0068430139507143E-3</v>
      </c>
      <c r="M1183" s="5">
        <v>44264</v>
      </c>
      <c r="N1183" s="2">
        <v>14956.2</v>
      </c>
      <c r="O1183" s="4">
        <f t="shared" si="75"/>
        <v>1.2116668117096996E-3</v>
      </c>
    </row>
    <row r="1184" spans="1:15" x14ac:dyDescent="0.25">
      <c r="A1184" s="3">
        <v>44263</v>
      </c>
      <c r="B1184" s="1">
        <v>160.477</v>
      </c>
      <c r="C1184" s="4">
        <f t="shared" si="72"/>
        <v>4.4816945312060597E-3</v>
      </c>
      <c r="E1184" s="3">
        <v>44263</v>
      </c>
      <c r="F1184" s="1">
        <v>70.59</v>
      </c>
      <c r="G1184" s="4">
        <f t="shared" si="73"/>
        <v>-1.6030108725954673E-2</v>
      </c>
      <c r="I1184" s="3">
        <v>44263</v>
      </c>
      <c r="J1184" s="1">
        <v>79.350999999999999</v>
      </c>
      <c r="K1184" s="4">
        <f t="shared" si="74"/>
        <v>1.5398402100241793E-3</v>
      </c>
      <c r="M1184" s="5">
        <v>44263</v>
      </c>
      <c r="N1184" s="2">
        <v>14938.1</v>
      </c>
      <c r="O1184" s="4">
        <f t="shared" si="75"/>
        <v>-9.4590786267261251E-3</v>
      </c>
    </row>
    <row r="1185" spans="1:15" x14ac:dyDescent="0.25">
      <c r="A1185" s="3">
        <v>44260</v>
      </c>
      <c r="B1185" s="1">
        <v>159.761</v>
      </c>
      <c r="C1185" s="4">
        <f t="shared" si="72"/>
        <v>-1.3607878245299965E-2</v>
      </c>
      <c r="E1185" s="3">
        <v>44260</v>
      </c>
      <c r="F1185" s="1">
        <v>71.739999999999995</v>
      </c>
      <c r="G1185" s="4">
        <f t="shared" si="73"/>
        <v>-1.6699137211244608E-3</v>
      </c>
      <c r="I1185" s="3">
        <v>44260</v>
      </c>
      <c r="J1185" s="1">
        <v>79.228999999999999</v>
      </c>
      <c r="K1185" s="4">
        <f t="shared" si="74"/>
        <v>7.3259147920312628E-4</v>
      </c>
      <c r="M1185" s="5">
        <v>44260</v>
      </c>
      <c r="N1185" s="2">
        <v>15080.75</v>
      </c>
      <c r="O1185" s="4">
        <f t="shared" si="75"/>
        <v>-1.0812955869234475E-2</v>
      </c>
    </row>
    <row r="1186" spans="1:15" x14ac:dyDescent="0.25">
      <c r="A1186" s="3">
        <v>44259</v>
      </c>
      <c r="B1186" s="1">
        <v>161.965</v>
      </c>
      <c r="C1186" s="4">
        <f t="shared" si="72"/>
        <v>-2.0596114191726467E-2</v>
      </c>
      <c r="E1186" s="3">
        <v>44259</v>
      </c>
      <c r="F1186" s="1">
        <v>71.86</v>
      </c>
      <c r="G1186" s="4">
        <f t="shared" si="73"/>
        <v>-5.8107360265633456E-3</v>
      </c>
      <c r="I1186" s="3">
        <v>44259</v>
      </c>
      <c r="J1186" s="1">
        <v>79.171000000000006</v>
      </c>
      <c r="K1186" s="4">
        <f t="shared" si="74"/>
        <v>-1.2387106431814732E-2</v>
      </c>
      <c r="M1186" s="5">
        <v>44259</v>
      </c>
      <c r="N1186" s="2">
        <v>15245.6</v>
      </c>
      <c r="O1186" s="4">
        <f t="shared" si="75"/>
        <v>2.188469813862759E-2</v>
      </c>
    </row>
    <row r="1187" spans="1:15" x14ac:dyDescent="0.25">
      <c r="A1187" s="3">
        <v>44258</v>
      </c>
      <c r="B1187" s="1">
        <v>165.37100000000001</v>
      </c>
      <c r="C1187" s="4">
        <f t="shared" si="72"/>
        <v>-1.0571079941525952E-3</v>
      </c>
      <c r="E1187" s="3">
        <v>44258</v>
      </c>
      <c r="F1187" s="1">
        <v>72.28</v>
      </c>
      <c r="G1187" s="4">
        <f t="shared" si="73"/>
        <v>-7.6880834706205547E-3</v>
      </c>
      <c r="I1187" s="3">
        <v>44258</v>
      </c>
      <c r="J1187" s="1">
        <v>80.164000000000001</v>
      </c>
      <c r="K1187" s="4">
        <f t="shared" si="74"/>
        <v>-4.4088972789031455E-3</v>
      </c>
      <c r="M1187" s="5">
        <v>44258</v>
      </c>
      <c r="N1187" s="2">
        <v>14919.1</v>
      </c>
      <c r="O1187" s="4">
        <f t="shared" si="75"/>
        <v>1.0672998431736636E-2</v>
      </c>
    </row>
    <row r="1188" spans="1:15" x14ac:dyDescent="0.25">
      <c r="A1188" s="3">
        <v>44257</v>
      </c>
      <c r="B1188" s="1">
        <v>165.54599999999999</v>
      </c>
      <c r="C1188" s="4">
        <f t="shared" si="72"/>
        <v>9.8455457140766978E-3</v>
      </c>
      <c r="E1188" s="3">
        <v>44257</v>
      </c>
      <c r="F1188" s="1">
        <v>72.84</v>
      </c>
      <c r="G1188" s="4">
        <f t="shared" si="73"/>
        <v>5.5218111540586978E-3</v>
      </c>
      <c r="I1188" s="3">
        <v>44257</v>
      </c>
      <c r="J1188" s="1">
        <v>80.519000000000005</v>
      </c>
      <c r="K1188" s="4">
        <f t="shared" si="74"/>
        <v>1.9447222820100585E-2</v>
      </c>
      <c r="M1188" s="5">
        <v>44257</v>
      </c>
      <c r="N1188" s="2">
        <v>14761.55</v>
      </c>
      <c r="O1188" s="4">
        <f t="shared" si="75"/>
        <v>1.5995429877177836E-2</v>
      </c>
    </row>
    <row r="1189" spans="1:15" x14ac:dyDescent="0.25">
      <c r="A1189" s="3">
        <v>44256</v>
      </c>
      <c r="B1189" s="1">
        <v>163.93199999999999</v>
      </c>
      <c r="C1189" s="4">
        <f t="shared" si="72"/>
        <v>-6.9842808250296651E-3</v>
      </c>
      <c r="E1189" s="3">
        <v>44256</v>
      </c>
      <c r="F1189" s="1">
        <v>72.44</v>
      </c>
      <c r="G1189" s="4">
        <f t="shared" si="73"/>
        <v>9.6725162360078443E-4</v>
      </c>
      <c r="I1189" s="3">
        <v>44256</v>
      </c>
      <c r="J1189" s="1">
        <v>78.983000000000004</v>
      </c>
      <c r="K1189" s="4">
        <f t="shared" si="74"/>
        <v>1.2174336498660843E-2</v>
      </c>
      <c r="M1189" s="5">
        <v>44256</v>
      </c>
      <c r="N1189" s="2">
        <v>14529.15</v>
      </c>
      <c r="O1189" s="4">
        <f t="shared" si="75"/>
        <v>-3.7635744021301765E-2</v>
      </c>
    </row>
    <row r="1190" spans="1:15" x14ac:dyDescent="0.25">
      <c r="A1190" s="3">
        <v>44253</v>
      </c>
      <c r="B1190" s="1">
        <v>165.08500000000001</v>
      </c>
      <c r="C1190" s="4">
        <f t="shared" si="72"/>
        <v>6.9904049677014246E-3</v>
      </c>
      <c r="E1190" s="3">
        <v>44253</v>
      </c>
      <c r="F1190" s="1">
        <v>72.37</v>
      </c>
      <c r="G1190" s="4">
        <f t="shared" si="73"/>
        <v>2.35457063711908E-3</v>
      </c>
      <c r="I1190" s="3">
        <v>44253</v>
      </c>
      <c r="J1190" s="1">
        <v>78.033000000000001</v>
      </c>
      <c r="K1190" s="4">
        <f t="shared" si="74"/>
        <v>1.4495956733144411E-2</v>
      </c>
      <c r="M1190" s="5">
        <v>44253</v>
      </c>
      <c r="N1190" s="2">
        <v>15097.35</v>
      </c>
      <c r="O1190" s="4">
        <f t="shared" si="75"/>
        <v>7.699239086904397E-3</v>
      </c>
    </row>
    <row r="1191" spans="1:15" x14ac:dyDescent="0.25">
      <c r="A1191" s="3">
        <v>44252</v>
      </c>
      <c r="B1191" s="1">
        <v>163.93899999999999</v>
      </c>
      <c r="C1191" s="4">
        <f t="shared" si="72"/>
        <v>-2.4097118690480368E-3</v>
      </c>
      <c r="E1191" s="3">
        <v>44252</v>
      </c>
      <c r="F1191" s="1">
        <v>72.2</v>
      </c>
      <c r="G1191" s="4">
        <f t="shared" si="73"/>
        <v>-1.2987012987012991E-2</v>
      </c>
      <c r="I1191" s="3">
        <v>44252</v>
      </c>
      <c r="J1191" s="1">
        <v>76.918000000000006</v>
      </c>
      <c r="K1191" s="4">
        <f t="shared" si="74"/>
        <v>-2.9744184873101487E-2</v>
      </c>
      <c r="M1191" s="5">
        <v>44252</v>
      </c>
      <c r="N1191" s="2">
        <v>14982</v>
      </c>
      <c r="O1191" s="4">
        <f t="shared" si="75"/>
        <v>1.8643168930771559E-2</v>
      </c>
    </row>
    <row r="1192" spans="1:15" x14ac:dyDescent="0.25">
      <c r="A1192" s="3">
        <v>44251</v>
      </c>
      <c r="B1192" s="1">
        <v>164.33500000000001</v>
      </c>
      <c r="C1192" s="4">
        <f t="shared" si="72"/>
        <v>6.4859501702638767E-3</v>
      </c>
      <c r="E1192" s="3">
        <v>44251</v>
      </c>
      <c r="F1192" s="1">
        <v>73.150000000000006</v>
      </c>
      <c r="G1192" s="4">
        <f t="shared" si="73"/>
        <v>-6.3841347459929754E-3</v>
      </c>
      <c r="I1192" s="3">
        <v>44251</v>
      </c>
      <c r="J1192" s="1">
        <v>79.275999999999996</v>
      </c>
      <c r="K1192" s="4">
        <f t="shared" si="74"/>
        <v>7.3061333401100992E-3</v>
      </c>
      <c r="M1192" s="5">
        <v>44251</v>
      </c>
      <c r="N1192" s="2">
        <v>14707.8</v>
      </c>
      <c r="O1192" s="4">
        <f t="shared" si="75"/>
        <v>2.1872891923382376E-3</v>
      </c>
    </row>
    <row r="1193" spans="1:15" x14ac:dyDescent="0.25">
      <c r="A1193" s="3">
        <v>44250</v>
      </c>
      <c r="B1193" s="1">
        <v>163.27600000000001</v>
      </c>
      <c r="C1193" s="4">
        <f t="shared" si="72"/>
        <v>-1.1766130008473485E-2</v>
      </c>
      <c r="E1193" s="3">
        <v>44250</v>
      </c>
      <c r="F1193" s="1">
        <v>73.62</v>
      </c>
      <c r="G1193" s="4">
        <f t="shared" si="73"/>
        <v>1.6991297140489081E-2</v>
      </c>
      <c r="I1193" s="3">
        <v>44250</v>
      </c>
      <c r="J1193" s="1">
        <v>78.700999999999993</v>
      </c>
      <c r="K1193" s="4">
        <f t="shared" si="74"/>
        <v>1.7176756449361452E-2</v>
      </c>
      <c r="M1193" s="5">
        <v>44250</v>
      </c>
      <c r="N1193" s="2">
        <v>14675.7</v>
      </c>
      <c r="O1193" s="4">
        <f t="shared" si="75"/>
        <v>-2.0428187628281025E-2</v>
      </c>
    </row>
    <row r="1194" spans="1:15" x14ac:dyDescent="0.25">
      <c r="A1194" s="3">
        <v>44249</v>
      </c>
      <c r="B1194" s="1">
        <v>165.22</v>
      </c>
      <c r="C1194" s="4">
        <f t="shared" si="72"/>
        <v>-2.5175534451843395E-3</v>
      </c>
      <c r="E1194" s="3">
        <v>44249</v>
      </c>
      <c r="F1194" s="1">
        <v>72.39</v>
      </c>
      <c r="G1194" s="4">
        <f t="shared" si="73"/>
        <v>1.0751186819324188E-2</v>
      </c>
      <c r="I1194" s="3">
        <v>44249</v>
      </c>
      <c r="J1194" s="1">
        <v>77.372</v>
      </c>
      <c r="K1194" s="4">
        <f t="shared" si="74"/>
        <v>7.5659908062142289E-3</v>
      </c>
      <c r="M1194" s="5">
        <v>44249</v>
      </c>
      <c r="N1194" s="2">
        <v>14981.75</v>
      </c>
      <c r="O1194" s="4">
        <f t="shared" si="75"/>
        <v>-9.0747042618700702E-3</v>
      </c>
    </row>
    <row r="1195" spans="1:15" x14ac:dyDescent="0.25">
      <c r="A1195" s="3">
        <v>44246</v>
      </c>
      <c r="B1195" s="1">
        <v>165.637</v>
      </c>
      <c r="C1195" s="4">
        <f t="shared" si="72"/>
        <v>1.2636791587699481E-2</v>
      </c>
      <c r="E1195" s="3">
        <v>44246</v>
      </c>
      <c r="F1195" s="1">
        <v>71.62</v>
      </c>
      <c r="G1195" s="4">
        <f t="shared" si="73"/>
        <v>1.6463241555492614E-2</v>
      </c>
      <c r="I1195" s="3">
        <v>44246</v>
      </c>
      <c r="J1195" s="1">
        <v>76.790999999999997</v>
      </c>
      <c r="K1195" s="4">
        <f t="shared" si="74"/>
        <v>-2.0348021330339638E-2</v>
      </c>
      <c r="M1195" s="5">
        <v>44246</v>
      </c>
      <c r="N1195" s="2">
        <v>15118.95</v>
      </c>
      <c r="O1195" s="4">
        <f t="shared" si="75"/>
        <v>-5.9143001795001204E-3</v>
      </c>
    </row>
    <row r="1196" spans="1:15" x14ac:dyDescent="0.25">
      <c r="A1196" s="3">
        <v>44245</v>
      </c>
      <c r="B1196" s="1">
        <v>163.57</v>
      </c>
      <c r="C1196" s="4">
        <f t="shared" si="72"/>
        <v>1.1627187828560759E-2</v>
      </c>
      <c r="E1196" s="3">
        <v>44245</v>
      </c>
      <c r="F1196" s="1">
        <v>70.459999999999994</v>
      </c>
      <c r="G1196" s="4">
        <f t="shared" si="73"/>
        <v>-3.0011013215859084E-2</v>
      </c>
      <c r="I1196" s="3">
        <v>44245</v>
      </c>
      <c r="J1196" s="1">
        <v>78.385999999999996</v>
      </c>
      <c r="K1196" s="4">
        <f t="shared" si="74"/>
        <v>-1.2994535243899485E-2</v>
      </c>
      <c r="M1196" s="5">
        <v>44245</v>
      </c>
      <c r="N1196" s="2">
        <v>15208.9</v>
      </c>
      <c r="O1196" s="4">
        <f t="shared" si="75"/>
        <v>-6.8273315288195358E-3</v>
      </c>
    </row>
    <row r="1197" spans="1:15" x14ac:dyDescent="0.25">
      <c r="A1197" s="3">
        <v>44244</v>
      </c>
      <c r="B1197" s="1">
        <v>161.69</v>
      </c>
      <c r="C1197" s="4">
        <f t="shared" si="72"/>
        <v>1.2676462114664444E-2</v>
      </c>
      <c r="E1197" s="3">
        <v>44244</v>
      </c>
      <c r="F1197" s="1">
        <v>72.64</v>
      </c>
      <c r="G1197" s="4">
        <f t="shared" si="73"/>
        <v>9.1692136704639715E-3</v>
      </c>
      <c r="I1197" s="3">
        <v>44244</v>
      </c>
      <c r="J1197" s="1">
        <v>79.418000000000006</v>
      </c>
      <c r="K1197" s="4">
        <f t="shared" si="74"/>
        <v>-5.2856783287169584E-4</v>
      </c>
      <c r="M1197" s="5">
        <v>44244</v>
      </c>
      <c r="N1197" s="2">
        <v>15313.45</v>
      </c>
      <c r="O1197" s="4">
        <f t="shared" si="75"/>
        <v>-8.1620926299597052E-5</v>
      </c>
    </row>
    <row r="1198" spans="1:15" x14ac:dyDescent="0.25">
      <c r="A1198" s="3">
        <v>44243</v>
      </c>
      <c r="B1198" s="1">
        <v>159.666</v>
      </c>
      <c r="C1198" s="4">
        <f t="shared" si="72"/>
        <v>-2.2480990339051488E-2</v>
      </c>
      <c r="E1198" s="3">
        <v>44243</v>
      </c>
      <c r="F1198" s="1">
        <v>71.98</v>
      </c>
      <c r="G1198" s="4">
        <f t="shared" si="73"/>
        <v>1.5662480598278572E-2</v>
      </c>
      <c r="I1198" s="3">
        <v>44243</v>
      </c>
      <c r="J1198" s="1">
        <v>79.459999999999994</v>
      </c>
      <c r="K1198" s="4">
        <f t="shared" si="74"/>
        <v>-2.7360124501117911E-3</v>
      </c>
      <c r="M1198" s="5">
        <v>44243</v>
      </c>
      <c r="N1198" s="2">
        <v>15314.7</v>
      </c>
      <c r="O1198" s="4">
        <f t="shared" si="75"/>
        <v>9.9846339517124516E-3</v>
      </c>
    </row>
    <row r="1199" spans="1:15" x14ac:dyDescent="0.25">
      <c r="A1199" s="3">
        <v>44242</v>
      </c>
      <c r="B1199" s="1">
        <v>163.33799999999999</v>
      </c>
      <c r="C1199" s="4">
        <f t="shared" si="72"/>
        <v>1.0186095701059328E-2</v>
      </c>
      <c r="E1199" s="3">
        <v>44242</v>
      </c>
      <c r="F1199" s="1">
        <v>70.87</v>
      </c>
      <c r="G1199" s="4">
        <f t="shared" si="73"/>
        <v>7.248436611711373E-3</v>
      </c>
      <c r="I1199" s="3">
        <v>44242</v>
      </c>
      <c r="J1199" s="1">
        <v>79.677999999999997</v>
      </c>
      <c r="K1199" s="4">
        <f t="shared" si="74"/>
        <v>-2.8857856237685109E-4</v>
      </c>
      <c r="M1199" s="5">
        <v>44242</v>
      </c>
      <c r="N1199" s="2">
        <v>15163.3</v>
      </c>
      <c r="O1199" s="4">
        <f t="shared" si="75"/>
        <v>-6.5905241443853235E-4</v>
      </c>
    </row>
    <row r="1200" spans="1:15" x14ac:dyDescent="0.25">
      <c r="A1200" s="3">
        <v>44239</v>
      </c>
      <c r="B1200" s="1">
        <v>161.691</v>
      </c>
      <c r="C1200" s="4">
        <f t="shared" si="72"/>
        <v>1.2625645843118871E-2</v>
      </c>
      <c r="E1200" s="3">
        <v>44239</v>
      </c>
      <c r="F1200" s="1">
        <v>70.36</v>
      </c>
      <c r="G1200" s="4">
        <f t="shared" si="73"/>
        <v>-1.8278219617692271E-2</v>
      </c>
      <c r="I1200" s="3">
        <v>44239</v>
      </c>
      <c r="J1200" s="1">
        <v>79.700999999999993</v>
      </c>
      <c r="K1200" s="4">
        <f t="shared" si="74"/>
        <v>9.7169787417334952E-3</v>
      </c>
      <c r="M1200" s="5">
        <v>44239</v>
      </c>
      <c r="N1200" s="2">
        <v>15173.3</v>
      </c>
      <c r="O1200" s="4">
        <f t="shared" si="75"/>
        <v>4.4219375765397473E-3</v>
      </c>
    </row>
    <row r="1201" spans="1:15" x14ac:dyDescent="0.25">
      <c r="A1201" s="3">
        <v>44238</v>
      </c>
      <c r="B1201" s="1">
        <v>159.67500000000001</v>
      </c>
      <c r="C1201" s="4">
        <f t="shared" si="72"/>
        <v>8.1956344671259007E-3</v>
      </c>
      <c r="E1201" s="3">
        <v>44238</v>
      </c>
      <c r="F1201" s="1">
        <v>71.67</v>
      </c>
      <c r="G1201" s="4">
        <f t="shared" si="73"/>
        <v>-1.7007269236044342E-2</v>
      </c>
      <c r="I1201" s="3">
        <v>44238</v>
      </c>
      <c r="J1201" s="1">
        <v>78.933999999999997</v>
      </c>
      <c r="K1201" s="4">
        <f t="shared" si="74"/>
        <v>-4.5586931746233184E-4</v>
      </c>
      <c r="M1201" s="5">
        <v>44238</v>
      </c>
      <c r="N1201" s="2">
        <v>15106.5</v>
      </c>
      <c r="O1201" s="4">
        <f t="shared" si="75"/>
        <v>-1.8531632835405709E-4</v>
      </c>
    </row>
    <row r="1202" spans="1:15" x14ac:dyDescent="0.25">
      <c r="A1202" s="3">
        <v>44237</v>
      </c>
      <c r="B1202" s="1">
        <v>158.37700000000001</v>
      </c>
      <c r="C1202" s="4">
        <f t="shared" si="72"/>
        <v>-1.8559601417842075E-2</v>
      </c>
      <c r="E1202" s="3">
        <v>44237</v>
      </c>
      <c r="F1202" s="1">
        <v>72.91</v>
      </c>
      <c r="G1202" s="4">
        <f t="shared" si="73"/>
        <v>-3.0083413099958323E-3</v>
      </c>
      <c r="I1202" s="3">
        <v>44237</v>
      </c>
      <c r="J1202" s="1">
        <v>78.97</v>
      </c>
      <c r="K1202" s="4">
        <f t="shared" si="74"/>
        <v>5.1549672245911893E-3</v>
      </c>
      <c r="M1202" s="5">
        <v>44237</v>
      </c>
      <c r="N1202" s="2">
        <v>15109.3</v>
      </c>
      <c r="O1202" s="4">
        <f t="shared" si="75"/>
        <v>-4.3001362812422617E-4</v>
      </c>
    </row>
    <row r="1203" spans="1:15" x14ac:dyDescent="0.25">
      <c r="A1203" s="3">
        <v>44236</v>
      </c>
      <c r="B1203" s="1">
        <v>161.37200000000001</v>
      </c>
      <c r="C1203" s="4">
        <f t="shared" si="72"/>
        <v>-1.3419577298599328E-2</v>
      </c>
      <c r="E1203" s="3">
        <v>44236</v>
      </c>
      <c r="F1203" s="1">
        <v>73.13</v>
      </c>
      <c r="G1203" s="4">
        <f t="shared" si="73"/>
        <v>-6.832467887402105E-4</v>
      </c>
      <c r="I1203" s="3">
        <v>44236</v>
      </c>
      <c r="J1203" s="1">
        <v>78.564999999999998</v>
      </c>
      <c r="K1203" s="4">
        <f t="shared" si="74"/>
        <v>3.0129326303158788E-3</v>
      </c>
      <c r="M1203" s="5">
        <v>44236</v>
      </c>
      <c r="N1203" s="2">
        <v>15115.8</v>
      </c>
      <c r="O1203" s="4">
        <f t="shared" si="75"/>
        <v>1.2834815819890322E-2</v>
      </c>
    </row>
    <row r="1204" spans="1:15" x14ac:dyDescent="0.25">
      <c r="A1204" s="3">
        <v>44235</v>
      </c>
      <c r="B1204" s="1">
        <v>163.56700000000001</v>
      </c>
      <c r="C1204" s="4">
        <f t="shared" si="72"/>
        <v>5.5698661633705182E-3</v>
      </c>
      <c r="E1204" s="3">
        <v>44235</v>
      </c>
      <c r="F1204" s="1">
        <v>73.180000000000007</v>
      </c>
      <c r="G1204" s="4">
        <f t="shared" si="73"/>
        <v>-2.7322404371576958E-4</v>
      </c>
      <c r="I1204" s="3">
        <v>44235</v>
      </c>
      <c r="J1204" s="1">
        <v>78.328999999999994</v>
      </c>
      <c r="K1204" s="4">
        <f t="shared" si="74"/>
        <v>2.9449800893737166E-3</v>
      </c>
      <c r="M1204" s="5">
        <v>44235</v>
      </c>
      <c r="N1204" s="2">
        <v>14924.25</v>
      </c>
      <c r="O1204" s="4">
        <f t="shared" si="75"/>
        <v>1.9200236310601415E-3</v>
      </c>
    </row>
    <row r="1205" spans="1:15" x14ac:dyDescent="0.25">
      <c r="A1205" s="3">
        <v>44232</v>
      </c>
      <c r="B1205" s="1">
        <v>162.661</v>
      </c>
      <c r="C1205" s="4">
        <f t="shared" si="72"/>
        <v>6.5905096660807683E-3</v>
      </c>
      <c r="E1205" s="3">
        <v>44232</v>
      </c>
      <c r="F1205" s="1">
        <v>73.2</v>
      </c>
      <c r="G1205" s="4">
        <f t="shared" si="73"/>
        <v>1.5115795312716784E-2</v>
      </c>
      <c r="I1205" s="3">
        <v>44232</v>
      </c>
      <c r="J1205" s="1">
        <v>78.099000000000004</v>
      </c>
      <c r="K1205" s="4">
        <f t="shared" si="74"/>
        <v>1.9742253907321095E-2</v>
      </c>
      <c r="M1205" s="5">
        <v>44232</v>
      </c>
      <c r="N1205" s="2">
        <v>14895.65</v>
      </c>
      <c r="O1205" s="4">
        <f t="shared" si="75"/>
        <v>7.1467449180016018E-3</v>
      </c>
    </row>
    <row r="1206" spans="1:15" x14ac:dyDescent="0.25">
      <c r="A1206" s="3">
        <v>44231</v>
      </c>
      <c r="B1206" s="1">
        <v>161.596</v>
      </c>
      <c r="C1206" s="4">
        <f t="shared" si="72"/>
        <v>-1.8653720243609895E-3</v>
      </c>
      <c r="E1206" s="3">
        <v>44231</v>
      </c>
      <c r="F1206" s="1">
        <v>72.11</v>
      </c>
      <c r="G1206" s="4">
        <f t="shared" si="73"/>
        <v>2.7743098904142727E-4</v>
      </c>
      <c r="I1206" s="3">
        <v>44231</v>
      </c>
      <c r="J1206" s="1">
        <v>76.587000000000003</v>
      </c>
      <c r="K1206" s="4">
        <f t="shared" si="74"/>
        <v>-6.3938618925818425E-4</v>
      </c>
      <c r="M1206" s="5">
        <v>44231</v>
      </c>
      <c r="N1206" s="2">
        <v>14789.95</v>
      </c>
      <c r="O1206" s="4">
        <f t="shared" si="75"/>
        <v>9.7010824114118765E-3</v>
      </c>
    </row>
    <row r="1207" spans="1:15" x14ac:dyDescent="0.25">
      <c r="A1207" s="3">
        <v>44230</v>
      </c>
      <c r="B1207" s="1">
        <v>161.898</v>
      </c>
      <c r="C1207" s="4">
        <f t="shared" si="72"/>
        <v>6.0775540641313519E-3</v>
      </c>
      <c r="E1207" s="3">
        <v>44230</v>
      </c>
      <c r="F1207" s="1">
        <v>72.09</v>
      </c>
      <c r="G1207" s="4">
        <f t="shared" si="73"/>
        <v>6.1409630146544991E-3</v>
      </c>
      <c r="I1207" s="3">
        <v>44230</v>
      </c>
      <c r="J1207" s="1">
        <v>76.635999999999996</v>
      </c>
      <c r="K1207" s="4">
        <f t="shared" si="74"/>
        <v>1.1709725540931304E-2</v>
      </c>
      <c r="M1207" s="5">
        <v>44230</v>
      </c>
      <c r="N1207" s="2">
        <v>14647.85</v>
      </c>
      <c r="O1207" s="4">
        <f t="shared" si="75"/>
        <v>2.5673612861664363E-2</v>
      </c>
    </row>
    <row r="1208" spans="1:15" x14ac:dyDescent="0.25">
      <c r="A1208" s="3">
        <v>44229</v>
      </c>
      <c r="B1208" s="1">
        <v>160.91999999999999</v>
      </c>
      <c r="C1208" s="4">
        <f t="shared" si="72"/>
        <v>4.0118045633497079E-3</v>
      </c>
      <c r="E1208" s="3">
        <v>44229</v>
      </c>
      <c r="F1208" s="1">
        <v>71.650000000000006</v>
      </c>
      <c r="G1208" s="4">
        <f t="shared" si="73"/>
        <v>-1.8110894399553379E-3</v>
      </c>
      <c r="I1208" s="3">
        <v>44229</v>
      </c>
      <c r="J1208" s="1">
        <v>75.748999999999995</v>
      </c>
      <c r="K1208" s="4">
        <f t="shared" si="74"/>
        <v>9.5828335332532877E-3</v>
      </c>
      <c r="M1208" s="5">
        <v>44229</v>
      </c>
      <c r="N1208" s="2">
        <v>14281.2</v>
      </c>
      <c r="O1208" s="4">
        <f t="shared" si="75"/>
        <v>4.7423466768368838E-2</v>
      </c>
    </row>
    <row r="1209" spans="1:15" x14ac:dyDescent="0.25">
      <c r="A1209" s="3">
        <v>44228</v>
      </c>
      <c r="B1209" s="1">
        <v>160.27699999999999</v>
      </c>
      <c r="C1209" s="4">
        <f t="shared" si="72"/>
        <v>1.0299855650737655E-2</v>
      </c>
      <c r="E1209" s="3">
        <v>44228</v>
      </c>
      <c r="F1209" s="1">
        <v>71.78</v>
      </c>
      <c r="G1209" s="4">
        <f t="shared" si="73"/>
        <v>-1.8078153247114148E-3</v>
      </c>
      <c r="I1209" s="3">
        <v>44228</v>
      </c>
      <c r="J1209" s="1">
        <v>75.03</v>
      </c>
      <c r="K1209" s="4">
        <f t="shared" si="74"/>
        <v>2.6865753349665455E-2</v>
      </c>
      <c r="M1209" s="5">
        <v>44228</v>
      </c>
      <c r="N1209" s="2">
        <v>13634.6</v>
      </c>
      <c r="O1209" s="4">
        <f t="shared" si="75"/>
        <v>-1.3240408031814588E-2</v>
      </c>
    </row>
    <row r="1210" spans="1:15" x14ac:dyDescent="0.25">
      <c r="A1210" s="3">
        <v>44225</v>
      </c>
      <c r="B1210" s="1">
        <v>158.643</v>
      </c>
      <c r="C1210" s="4">
        <f t="shared" si="72"/>
        <v>6.1180982175534915E-4</v>
      </c>
      <c r="E1210" s="3">
        <v>44225</v>
      </c>
      <c r="F1210" s="1">
        <v>71.91</v>
      </c>
      <c r="G1210" s="4">
        <f t="shared" si="73"/>
        <v>1.3530655391120527E-2</v>
      </c>
      <c r="I1210" s="3">
        <v>44225</v>
      </c>
      <c r="J1210" s="1">
        <v>73.066999999999993</v>
      </c>
      <c r="K1210" s="4">
        <f t="shared" si="74"/>
        <v>4.3426727215605698E-2</v>
      </c>
      <c r="M1210" s="5">
        <v>44225</v>
      </c>
      <c r="N1210" s="2">
        <v>13817.55</v>
      </c>
      <c r="O1210" s="4">
        <f t="shared" si="75"/>
        <v>-1.0735636298550233E-2</v>
      </c>
    </row>
    <row r="1211" spans="1:15" x14ac:dyDescent="0.25">
      <c r="A1211" s="3">
        <v>44224</v>
      </c>
      <c r="B1211" s="1">
        <v>158.54599999999999</v>
      </c>
      <c r="C1211" s="4">
        <f t="shared" si="72"/>
        <v>1.4508935611856622E-4</v>
      </c>
      <c r="E1211" s="3">
        <v>44224</v>
      </c>
      <c r="F1211" s="1">
        <v>70.95</v>
      </c>
      <c r="G1211" s="4">
        <f t="shared" si="73"/>
        <v>-6.1633281972264253E-3</v>
      </c>
      <c r="I1211" s="3">
        <v>44224</v>
      </c>
      <c r="J1211" s="1">
        <v>70.025999999999996</v>
      </c>
      <c r="K1211" s="4">
        <f t="shared" si="74"/>
        <v>-1.2173962109777281E-2</v>
      </c>
      <c r="M1211" s="5">
        <v>44224</v>
      </c>
      <c r="N1211" s="2">
        <v>13967.5</v>
      </c>
      <c r="O1211" s="4">
        <f t="shared" si="75"/>
        <v>-1.9060461131126694E-2</v>
      </c>
    </row>
    <row r="1212" spans="1:15" x14ac:dyDescent="0.25">
      <c r="A1212" s="3">
        <v>44223</v>
      </c>
      <c r="B1212" s="1">
        <v>158.523</v>
      </c>
      <c r="C1212" s="4">
        <f t="shared" si="72"/>
        <v>1.4969427281749104E-2</v>
      </c>
      <c r="E1212" s="3">
        <v>44223</v>
      </c>
      <c r="F1212" s="1">
        <v>71.39</v>
      </c>
      <c r="G1212" s="4">
        <f t="shared" si="73"/>
        <v>5.7762750070442515E-3</v>
      </c>
      <c r="I1212" s="3">
        <v>44223</v>
      </c>
      <c r="J1212" s="1">
        <v>70.888999999999996</v>
      </c>
      <c r="K1212" s="4">
        <f t="shared" si="74"/>
        <v>-3.6402990948445346E-3</v>
      </c>
      <c r="M1212" s="5">
        <v>44223</v>
      </c>
      <c r="N1212" s="2">
        <v>14238.9</v>
      </c>
      <c r="O1212" s="4">
        <f t="shared" si="75"/>
        <v>-9.2541695948343827E-3</v>
      </c>
    </row>
    <row r="1213" spans="1:15" x14ac:dyDescent="0.25">
      <c r="A1213" s="3">
        <v>44221</v>
      </c>
      <c r="B1213" s="1">
        <v>156.185</v>
      </c>
      <c r="C1213" s="4">
        <f t="shared" si="72"/>
        <v>-6.9431639718458005E-3</v>
      </c>
      <c r="E1213" s="3">
        <v>44221</v>
      </c>
      <c r="F1213" s="1">
        <v>70.98</v>
      </c>
      <c r="G1213" s="4">
        <f t="shared" si="73"/>
        <v>1.1687571265678542E-2</v>
      </c>
      <c r="I1213" s="3">
        <v>44221</v>
      </c>
      <c r="J1213" s="1">
        <v>71.147999999999996</v>
      </c>
      <c r="K1213" s="4">
        <f t="shared" si="74"/>
        <v>-1.566131710016605E-2</v>
      </c>
      <c r="M1213" s="5">
        <v>44221</v>
      </c>
      <c r="N1213" s="2">
        <v>14371.9</v>
      </c>
      <c r="O1213" s="4">
        <f t="shared" si="75"/>
        <v>-1.4972224792414224E-2</v>
      </c>
    </row>
    <row r="1214" spans="1:15" x14ac:dyDescent="0.25">
      <c r="A1214" s="3">
        <v>44218</v>
      </c>
      <c r="B1214" s="1">
        <v>157.27699999999999</v>
      </c>
      <c r="C1214" s="4">
        <f t="shared" si="72"/>
        <v>1.400995461109944E-2</v>
      </c>
      <c r="E1214" s="3">
        <v>44218</v>
      </c>
      <c r="F1214" s="1">
        <v>70.16</v>
      </c>
      <c r="G1214" s="4">
        <f t="shared" si="73"/>
        <v>2.7834749487254395E-2</v>
      </c>
      <c r="I1214" s="3">
        <v>44218</v>
      </c>
      <c r="J1214" s="1">
        <v>72.28</v>
      </c>
      <c r="K1214" s="4">
        <f t="shared" si="74"/>
        <v>-7.6880834706205547E-3</v>
      </c>
      <c r="M1214" s="5">
        <v>44218</v>
      </c>
      <c r="N1214" s="2">
        <v>14590.35</v>
      </c>
      <c r="O1214" s="4">
        <f t="shared" si="75"/>
        <v>-3.711240243910785E-3</v>
      </c>
    </row>
    <row r="1215" spans="1:15" x14ac:dyDescent="0.25">
      <c r="A1215" s="3">
        <v>44217</v>
      </c>
      <c r="B1215" s="1">
        <v>155.10400000000001</v>
      </c>
      <c r="C1215" s="4">
        <f t="shared" si="72"/>
        <v>8.5178875638842744E-3</v>
      </c>
      <c r="E1215" s="3">
        <v>44217</v>
      </c>
      <c r="F1215" s="1">
        <v>68.260000000000005</v>
      </c>
      <c r="G1215" s="4">
        <f t="shared" si="73"/>
        <v>4.2296533821957638E-2</v>
      </c>
      <c r="I1215" s="3">
        <v>44217</v>
      </c>
      <c r="J1215" s="1">
        <v>72.84</v>
      </c>
      <c r="K1215" s="4">
        <f t="shared" si="74"/>
        <v>-1.4703694184803995E-2</v>
      </c>
      <c r="M1215" s="5">
        <v>44217</v>
      </c>
      <c r="N1215" s="2">
        <v>14644.7</v>
      </c>
      <c r="O1215" s="4">
        <f t="shared" si="75"/>
        <v>8.508279302947841E-3</v>
      </c>
    </row>
    <row r="1216" spans="1:15" x14ac:dyDescent="0.25">
      <c r="A1216" s="3">
        <v>44216</v>
      </c>
      <c r="B1216" s="1">
        <v>153.79400000000001</v>
      </c>
      <c r="C1216" s="4">
        <f t="shared" si="72"/>
        <v>2.1751262290725437E-2</v>
      </c>
      <c r="E1216" s="3">
        <v>44216</v>
      </c>
      <c r="F1216" s="1">
        <v>65.489999999999995</v>
      </c>
      <c r="G1216" s="4">
        <f t="shared" si="73"/>
        <v>-9.0785292782570304E-3</v>
      </c>
      <c r="I1216" s="3">
        <v>44216</v>
      </c>
      <c r="J1216" s="1">
        <v>73.927000000000007</v>
      </c>
      <c r="K1216" s="4">
        <f t="shared" si="74"/>
        <v>-4.3501683501682153E-3</v>
      </c>
      <c r="M1216" s="5">
        <v>44216</v>
      </c>
      <c r="N1216" s="2">
        <v>14521.15</v>
      </c>
      <c r="O1216" s="4">
        <f t="shared" si="75"/>
        <v>1.6794689559073817E-2</v>
      </c>
    </row>
    <row r="1217" spans="1:15" x14ac:dyDescent="0.25">
      <c r="A1217" s="3">
        <v>44215</v>
      </c>
      <c r="B1217" s="1">
        <v>150.52000000000001</v>
      </c>
      <c r="C1217" s="4">
        <f t="shared" si="72"/>
        <v>3.129089501414839E-2</v>
      </c>
      <c r="E1217" s="3">
        <v>44215</v>
      </c>
      <c r="F1217" s="1">
        <v>66.09</v>
      </c>
      <c r="G1217" s="4">
        <f t="shared" si="73"/>
        <v>-9.4424460431653534E-3</v>
      </c>
      <c r="I1217" s="3">
        <v>44215</v>
      </c>
      <c r="J1217" s="1">
        <v>74.25</v>
      </c>
      <c r="K1217" s="4">
        <f t="shared" si="74"/>
        <v>8.0645161290322509E-3</v>
      </c>
      <c r="M1217" s="5">
        <v>44215</v>
      </c>
      <c r="N1217" s="2">
        <v>14281.3</v>
      </c>
      <c r="O1217" s="4">
        <f t="shared" si="75"/>
        <v>-1.0558623222042929E-2</v>
      </c>
    </row>
    <row r="1218" spans="1:15" x14ac:dyDescent="0.25">
      <c r="A1218" s="3">
        <v>44214</v>
      </c>
      <c r="B1218" s="1">
        <v>145.953</v>
      </c>
      <c r="C1218" s="4">
        <f t="shared" si="72"/>
        <v>-2.719489446604384E-3</v>
      </c>
      <c r="E1218" s="3">
        <v>44214</v>
      </c>
      <c r="F1218" s="1">
        <v>66.72</v>
      </c>
      <c r="G1218" s="4">
        <f t="shared" si="73"/>
        <v>-1.2579547136303049E-2</v>
      </c>
      <c r="I1218" s="3">
        <v>44214</v>
      </c>
      <c r="J1218" s="1">
        <v>73.656000000000006</v>
      </c>
      <c r="K1218" s="4">
        <f t="shared" si="74"/>
        <v>1.5048784521250358E-2</v>
      </c>
      <c r="M1218" s="5">
        <v>44214</v>
      </c>
      <c r="N1218" s="2">
        <v>14433.7</v>
      </c>
      <c r="O1218" s="4">
        <f t="shared" si="75"/>
        <v>-1.1092384006138767E-2</v>
      </c>
    </row>
    <row r="1219" spans="1:15" x14ac:dyDescent="0.25">
      <c r="A1219" s="3">
        <v>44211</v>
      </c>
      <c r="B1219" s="1">
        <v>146.351</v>
      </c>
      <c r="C1219" s="4">
        <f t="shared" ref="C1219:C1228" si="76">(B1219/B1220)-1</f>
        <v>-6.2942190958594768E-3</v>
      </c>
      <c r="E1219" s="3">
        <v>44211</v>
      </c>
      <c r="F1219" s="1">
        <v>67.569999999999993</v>
      </c>
      <c r="G1219" s="4">
        <f t="shared" ref="G1219:G1228" si="77">(F1219/F1220)-1</f>
        <v>-5.8849492423128646E-3</v>
      </c>
      <c r="I1219" s="3">
        <v>44211</v>
      </c>
      <c r="J1219" s="1">
        <v>72.563999999999993</v>
      </c>
      <c r="K1219" s="4">
        <f t="shared" ref="K1219:K1228" si="78">(J1219/J1220)-1</f>
        <v>-1.1968465340468137E-2</v>
      </c>
      <c r="M1219" s="5">
        <v>44211</v>
      </c>
      <c r="N1219" s="2">
        <v>14595.6</v>
      </c>
      <c r="O1219" s="4">
        <f t="shared" ref="O1219:O1228" si="79">(N1219/N1220)-1</f>
        <v>2.1112472837001572E-3</v>
      </c>
    </row>
    <row r="1220" spans="1:15" x14ac:dyDescent="0.25">
      <c r="A1220" s="3">
        <v>44210</v>
      </c>
      <c r="B1220" s="1">
        <v>147.27799999999999</v>
      </c>
      <c r="C1220" s="4">
        <f t="shared" si="76"/>
        <v>-7.1726146337518504E-3</v>
      </c>
      <c r="E1220" s="3">
        <v>44210</v>
      </c>
      <c r="F1220" s="1">
        <v>67.97</v>
      </c>
      <c r="G1220" s="4">
        <f t="shared" si="77"/>
        <v>-1.4499057561258466E-2</v>
      </c>
      <c r="I1220" s="3">
        <v>44210</v>
      </c>
      <c r="J1220" s="1">
        <v>73.442999999999998</v>
      </c>
      <c r="K1220" s="4">
        <f t="shared" si="78"/>
        <v>-1.1308105488469833E-2</v>
      </c>
      <c r="M1220" s="5">
        <v>44210</v>
      </c>
      <c r="N1220" s="2">
        <v>14564.85</v>
      </c>
      <c r="O1220" s="4">
        <f t="shared" si="79"/>
        <v>9.6131067844451579E-5</v>
      </c>
    </row>
    <row r="1221" spans="1:15" x14ac:dyDescent="0.25">
      <c r="A1221" s="3">
        <v>44209</v>
      </c>
      <c r="B1221" s="1">
        <v>148.34200000000001</v>
      </c>
      <c r="C1221" s="4">
        <f t="shared" si="76"/>
        <v>-4.7634382631563943E-3</v>
      </c>
      <c r="E1221" s="3">
        <v>44209</v>
      </c>
      <c r="F1221" s="1">
        <v>68.97</v>
      </c>
      <c r="G1221" s="4">
        <f t="shared" si="77"/>
        <v>-8.19672131147553E-3</v>
      </c>
      <c r="I1221" s="3">
        <v>44209</v>
      </c>
      <c r="J1221" s="1">
        <v>74.283000000000001</v>
      </c>
      <c r="K1221" s="4">
        <f t="shared" si="78"/>
        <v>2.4290514554068388E-3</v>
      </c>
      <c r="M1221" s="5">
        <v>44209</v>
      </c>
      <c r="N1221" s="2">
        <v>14563.45</v>
      </c>
      <c r="O1221" s="4">
        <f t="shared" si="79"/>
        <v>5.4333005402233958E-3</v>
      </c>
    </row>
    <row r="1222" spans="1:15" x14ac:dyDescent="0.25">
      <c r="A1222" s="3">
        <v>44208</v>
      </c>
      <c r="B1222" s="1">
        <v>149.05199999999999</v>
      </c>
      <c r="C1222" s="4">
        <f t="shared" si="76"/>
        <v>-7.7092071100460791E-3</v>
      </c>
      <c r="E1222" s="3">
        <v>44208</v>
      </c>
      <c r="F1222" s="1">
        <v>69.540000000000006</v>
      </c>
      <c r="G1222" s="4">
        <f t="shared" si="77"/>
        <v>5.0585344702993584E-3</v>
      </c>
      <c r="I1222" s="3">
        <v>44208</v>
      </c>
      <c r="J1222" s="1">
        <v>74.102999999999994</v>
      </c>
      <c r="K1222" s="4">
        <f t="shared" si="78"/>
        <v>1.9741200968130812E-3</v>
      </c>
      <c r="M1222" s="5">
        <v>44208</v>
      </c>
      <c r="N1222" s="2">
        <v>14484.75</v>
      </c>
      <c r="O1222" s="4">
        <f t="shared" si="79"/>
        <v>9.5837181341371647E-3</v>
      </c>
    </row>
    <row r="1223" spans="1:15" x14ac:dyDescent="0.25">
      <c r="A1223" s="3">
        <v>44207</v>
      </c>
      <c r="B1223" s="1">
        <v>150.21</v>
      </c>
      <c r="C1223" s="4">
        <f t="shared" si="76"/>
        <v>-7.6895635974473242E-3</v>
      </c>
      <c r="E1223" s="3">
        <v>44207</v>
      </c>
      <c r="F1223" s="1">
        <v>69.19</v>
      </c>
      <c r="G1223" s="4">
        <f t="shared" si="77"/>
        <v>1.6304347826086918E-2</v>
      </c>
      <c r="I1223" s="3">
        <v>44207</v>
      </c>
      <c r="J1223" s="1">
        <v>73.956999999999994</v>
      </c>
      <c r="K1223" s="4">
        <f t="shared" si="78"/>
        <v>4.8778499415744747E-3</v>
      </c>
      <c r="M1223" s="5">
        <v>44207</v>
      </c>
      <c r="N1223" s="2">
        <v>14347.25</v>
      </c>
      <c r="O1223" s="4">
        <f t="shared" si="79"/>
        <v>1.4847195549378078E-2</v>
      </c>
    </row>
    <row r="1224" spans="1:15" x14ac:dyDescent="0.25">
      <c r="A1224" s="3">
        <v>44204</v>
      </c>
      <c r="B1224" s="1">
        <v>151.374</v>
      </c>
      <c r="C1224" s="4">
        <f t="shared" si="76"/>
        <v>1.0581551382277787E-2</v>
      </c>
      <c r="E1224" s="3">
        <v>44204</v>
      </c>
      <c r="F1224" s="1">
        <v>68.08</v>
      </c>
      <c r="G1224" s="4">
        <f t="shared" si="77"/>
        <v>-1.490377658804809E-2</v>
      </c>
      <c r="I1224" s="3">
        <v>44204</v>
      </c>
      <c r="J1224" s="1">
        <v>73.597999999999999</v>
      </c>
      <c r="K1224" s="4">
        <f t="shared" si="78"/>
        <v>5.780662794670377E-3</v>
      </c>
      <c r="M1224" s="5">
        <v>44204</v>
      </c>
      <c r="N1224" s="2">
        <v>14137.35</v>
      </c>
      <c r="O1224" s="4">
        <f t="shared" si="79"/>
        <v>-6.2914199876284993E-4</v>
      </c>
    </row>
    <row r="1225" spans="1:15" x14ac:dyDescent="0.25">
      <c r="A1225" s="3">
        <v>44203</v>
      </c>
      <c r="B1225" s="1">
        <v>149.78899999999999</v>
      </c>
      <c r="C1225" s="4">
        <f t="shared" si="76"/>
        <v>1.9368054279550462E-2</v>
      </c>
      <c r="E1225" s="3">
        <v>44203</v>
      </c>
      <c r="F1225" s="1">
        <v>69.11</v>
      </c>
      <c r="G1225" s="4">
        <f t="shared" si="77"/>
        <v>-1.0452462772050475E-2</v>
      </c>
      <c r="I1225" s="3">
        <v>44203</v>
      </c>
      <c r="J1225" s="1">
        <v>73.174999999999997</v>
      </c>
      <c r="K1225" s="4">
        <f t="shared" si="78"/>
        <v>1.4051911697454234E-2</v>
      </c>
      <c r="M1225" s="5">
        <v>44203</v>
      </c>
      <c r="N1225" s="2">
        <v>14146.25</v>
      </c>
      <c r="O1225" s="4">
        <f t="shared" si="79"/>
        <v>-3.7501320469031096E-3</v>
      </c>
    </row>
    <row r="1226" spans="1:15" x14ac:dyDescent="0.25">
      <c r="A1226" s="3">
        <v>44202</v>
      </c>
      <c r="B1226" s="1">
        <v>146.94300000000001</v>
      </c>
      <c r="C1226" s="4">
        <f t="shared" si="76"/>
        <v>-1.6505029817480699E-2</v>
      </c>
      <c r="E1226" s="3">
        <v>44202</v>
      </c>
      <c r="F1226" s="1">
        <v>69.84</v>
      </c>
      <c r="G1226" s="4">
        <f t="shared" si="77"/>
        <v>-1.2870012870013214E-3</v>
      </c>
      <c r="I1226" s="3">
        <v>44202</v>
      </c>
      <c r="J1226" s="1">
        <v>72.161000000000001</v>
      </c>
      <c r="K1226" s="4">
        <f t="shared" si="78"/>
        <v>3.0022934185838235E-3</v>
      </c>
      <c r="M1226" s="5">
        <v>44202</v>
      </c>
      <c r="N1226" s="2">
        <v>14199.5</v>
      </c>
      <c r="O1226" s="4">
        <f t="shared" si="79"/>
        <v>4.7124086351704175E-3</v>
      </c>
    </row>
    <row r="1227" spans="1:15" x14ac:dyDescent="0.25">
      <c r="A1227" s="3">
        <v>44201</v>
      </c>
      <c r="B1227" s="1">
        <v>149.40899999999999</v>
      </c>
      <c r="C1227" s="4">
        <f t="shared" si="76"/>
        <v>-6.3842946351975183E-3</v>
      </c>
      <c r="E1227" s="3">
        <v>44201</v>
      </c>
      <c r="F1227" s="1">
        <v>69.930000000000007</v>
      </c>
      <c r="G1227" s="4">
        <f t="shared" si="77"/>
        <v>2.1496130696474491E-3</v>
      </c>
      <c r="I1227" s="3">
        <v>44201</v>
      </c>
      <c r="J1227" s="1">
        <v>71.944999999999993</v>
      </c>
      <c r="K1227" s="4">
        <f t="shared" si="78"/>
        <v>7.3721693651584985E-4</v>
      </c>
      <c r="M1227" s="5">
        <v>44201</v>
      </c>
      <c r="N1227" s="2">
        <v>14132.9</v>
      </c>
      <c r="O1227" s="4">
        <f t="shared" si="79"/>
        <v>8.1606448621465155E-3</v>
      </c>
    </row>
    <row r="1228" spans="1:15" x14ac:dyDescent="0.25">
      <c r="A1228" s="3">
        <v>44200</v>
      </c>
      <c r="B1228" s="1">
        <v>150.369</v>
      </c>
      <c r="C1228" s="4">
        <f t="shared" si="76"/>
        <v>6.3883731608482819E-4</v>
      </c>
      <c r="E1228" s="3">
        <v>44200</v>
      </c>
      <c r="F1228" s="1">
        <v>69.78</v>
      </c>
      <c r="G1228" s="4">
        <f t="shared" si="77"/>
        <v>7.0717275220089082E-3</v>
      </c>
      <c r="I1228" s="3">
        <v>44200</v>
      </c>
      <c r="J1228" s="1">
        <v>71.891999999999996</v>
      </c>
      <c r="K1228" s="4">
        <f t="shared" si="78"/>
        <v>6.0734977189398354E-3</v>
      </c>
      <c r="M1228" s="5">
        <v>44200</v>
      </c>
      <c r="N1228" s="2">
        <v>14018.5</v>
      </c>
      <c r="O1228" s="4">
        <f t="shared" si="79"/>
        <v>0</v>
      </c>
    </row>
    <row r="1229" spans="1:15" x14ac:dyDescent="0.25">
      <c r="A1229" s="3">
        <v>44197</v>
      </c>
      <c r="B1229" s="1">
        <v>150.273</v>
      </c>
      <c r="C1229" s="4"/>
      <c r="E1229" s="3">
        <v>44197</v>
      </c>
      <c r="F1229" s="1">
        <v>69.290000000000006</v>
      </c>
      <c r="G1229" s="4"/>
      <c r="I1229" s="3">
        <v>44197</v>
      </c>
      <c r="J1229" s="1">
        <v>71.457999999999998</v>
      </c>
      <c r="K1229" s="4"/>
      <c r="M1229" s="5">
        <v>44197</v>
      </c>
      <c r="N1229" s="2">
        <v>14018.5</v>
      </c>
      <c r="O1229" s="1"/>
    </row>
    <row r="1230" spans="1:15" x14ac:dyDescent="0.25">
      <c r="A1230" s="6"/>
      <c r="E1230" s="6"/>
      <c r="I1230" s="6"/>
      <c r="M1230" s="7"/>
      <c r="N1230" s="8"/>
    </row>
    <row r="1231" spans="1:15" x14ac:dyDescent="0.25">
      <c r="A1231" s="6"/>
      <c r="B1231" s="9"/>
      <c r="E1231" s="6"/>
      <c r="F1231" s="9"/>
      <c r="I1231" s="6"/>
      <c r="J1231" s="9"/>
      <c r="M1231" s="7"/>
      <c r="N1231" s="8"/>
    </row>
    <row r="1232" spans="1:15" x14ac:dyDescent="0.25">
      <c r="A1232" s="6"/>
      <c r="B1232" s="10"/>
      <c r="E1232" s="6"/>
      <c r="M1232" s="7"/>
      <c r="N1232" s="8"/>
    </row>
    <row r="1233" spans="1:14" x14ac:dyDescent="0.25">
      <c r="A1233" s="6"/>
      <c r="E1233" s="6"/>
      <c r="M1233" s="7"/>
      <c r="N1233" s="8"/>
    </row>
    <row r="1234" spans="1:14" x14ac:dyDescent="0.25">
      <c r="A1234" s="6"/>
      <c r="B1234" s="11"/>
      <c r="E1234" s="6"/>
      <c r="M1234" s="7"/>
      <c r="N1234" s="8"/>
    </row>
    <row r="1235" spans="1:14" x14ac:dyDescent="0.25">
      <c r="A1235" s="6"/>
      <c r="E1235" s="6"/>
      <c r="M1235" s="7"/>
      <c r="N1235" s="8"/>
    </row>
    <row r="1236" spans="1:14" x14ac:dyDescent="0.25">
      <c r="A1236" s="6"/>
      <c r="M1236" s="7"/>
      <c r="N1236" s="8"/>
    </row>
    <row r="1237" spans="1:14" x14ac:dyDescent="0.25">
      <c r="A1237" s="6"/>
      <c r="M1237" s="7"/>
      <c r="N1237" s="8"/>
    </row>
    <row r="1238" spans="1:14" x14ac:dyDescent="0.25">
      <c r="M1238" s="7"/>
      <c r="N1238" s="8"/>
    </row>
    <row r="1239" spans="1:14" x14ac:dyDescent="0.25">
      <c r="M1239" s="7"/>
      <c r="N1239" s="8"/>
    </row>
    <row r="1240" spans="1:14" x14ac:dyDescent="0.25">
      <c r="M1240" s="7"/>
      <c r="N1240" s="8"/>
    </row>
    <row r="1241" spans="1:14" x14ac:dyDescent="0.25">
      <c r="M1241" s="7"/>
      <c r="N1241" s="8"/>
    </row>
    <row r="1242" spans="1:14" x14ac:dyDescent="0.25">
      <c r="M1242" s="7"/>
      <c r="N1242" s="8"/>
    </row>
    <row r="1243" spans="1:14" x14ac:dyDescent="0.25">
      <c r="M1243" s="7"/>
      <c r="N1243" s="8"/>
    </row>
    <row r="1244" spans="1:14" x14ac:dyDescent="0.25">
      <c r="M1244" s="7"/>
    </row>
  </sheetData>
  <mergeCells count="4">
    <mergeCell ref="A1:C1"/>
    <mergeCell ref="E1:G1"/>
    <mergeCell ref="I1:K1"/>
    <mergeCell ref="M1:O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zoomScaleNormal="100" workbookViewId="0">
      <selection activeCell="H17" sqref="H17"/>
    </sheetView>
  </sheetViews>
  <sheetFormatPr defaultColWidth="8.75" defaultRowHeight="13.8" x14ac:dyDescent="0.25"/>
  <cols>
    <col min="1" max="1" width="17.5" style="17" bestFit="1" customWidth="1"/>
    <col min="2" max="2" width="9.375" style="17" customWidth="1"/>
    <col min="3" max="3" width="8.75" style="17"/>
    <col min="4" max="4" width="17.75" style="17" customWidth="1"/>
    <col min="5" max="5" width="21.25" style="17" customWidth="1"/>
    <col min="6" max="6" width="8.75" style="17"/>
    <col min="7" max="7" width="17.5" style="17" customWidth="1"/>
    <col min="8" max="8" width="23.25" style="17" customWidth="1"/>
    <col min="9" max="9" width="8.75" style="17"/>
    <col min="10" max="10" width="17.5" style="17" customWidth="1"/>
    <col min="11" max="11" width="22.25" style="17" customWidth="1"/>
    <col min="12" max="16384" width="8.75" style="17"/>
  </cols>
  <sheetData>
    <row r="1" spans="1:13" ht="19.8" thickBot="1" x14ac:dyDescent="0.4">
      <c r="A1" s="45" t="s">
        <v>23</v>
      </c>
      <c r="B1" s="45"/>
      <c r="C1" s="45"/>
      <c r="D1" s="45"/>
      <c r="E1" s="45"/>
      <c r="F1" s="45"/>
      <c r="G1" s="45"/>
    </row>
    <row r="2" spans="1:13" ht="14.4" thickTop="1" x14ac:dyDescent="0.25">
      <c r="A2" s="55" t="s">
        <v>3</v>
      </c>
      <c r="B2" s="55"/>
      <c r="C2" s="35"/>
      <c r="D2" s="51" t="s">
        <v>0</v>
      </c>
      <c r="E2" s="51"/>
      <c r="F2" s="43"/>
      <c r="G2" s="52" t="s">
        <v>1</v>
      </c>
      <c r="H2" s="52"/>
      <c r="I2" s="44"/>
      <c r="J2" s="53" t="s">
        <v>2</v>
      </c>
      <c r="K2" s="53"/>
      <c r="L2" s="46"/>
      <c r="M2" s="46"/>
    </row>
    <row r="5" spans="1:13" x14ac:dyDescent="0.25">
      <c r="A5" s="32" t="s">
        <v>7</v>
      </c>
      <c r="B5" s="33">
        <f>YEARFRAC('RAW Data '!M1229,'RAW Data '!M3,1)</f>
        <v>5.0004564125969875</v>
      </c>
      <c r="D5" s="18" t="s">
        <v>7</v>
      </c>
      <c r="E5" s="19">
        <f>YEARFRAC('RAW Data '!A1229,'RAW Data '!A3,1)</f>
        <v>5.0004564125969875</v>
      </c>
      <c r="G5" s="36" t="s">
        <v>7</v>
      </c>
      <c r="H5" s="37">
        <f>YEARFRAC('RAW Data '!E1229,'RAW Data '!E3,1)</f>
        <v>5.0004564125969875</v>
      </c>
      <c r="J5" s="25" t="s">
        <v>7</v>
      </c>
      <c r="K5" s="26">
        <f>YEARFRAC('RAW Data '!I1229,'RAW Data '!I3,1)</f>
        <v>5.0004564125969875</v>
      </c>
    </row>
    <row r="6" spans="1:13" x14ac:dyDescent="0.25">
      <c r="A6" s="32" t="s">
        <v>8</v>
      </c>
      <c r="B6" s="34">
        <f>RATE(B5,0,-'RAW Data '!B1229,'RAW Data '!B3,0)</f>
        <v>0.23803549076234143</v>
      </c>
      <c r="D6" s="18" t="s">
        <v>8</v>
      </c>
      <c r="E6" s="20">
        <f>RATE(E5,0,-'RAW Data '!B1229,'RAW Data '!B3,0)</f>
        <v>0.23803549076234143</v>
      </c>
      <c r="G6" s="36" t="s">
        <v>8</v>
      </c>
      <c r="H6" s="38">
        <f>RATE(H5,0,-'RAW Data '!F1229,'RAW Data '!F3,0)</f>
        <v>0.18743659087525935</v>
      </c>
      <c r="J6" s="25" t="s">
        <v>8</v>
      </c>
      <c r="K6" s="27">
        <f>RATE(K5,0,-'RAW Data '!J1229,'RAW Data '!J3,0)</f>
        <v>0.21195605040972942</v>
      </c>
    </row>
    <row r="7" spans="1:13" x14ac:dyDescent="0.25">
      <c r="D7" s="18" t="s">
        <v>9</v>
      </c>
      <c r="E7" s="21">
        <f>SLOPE('RAW Data '!C3:C1228,'RAW Data '!O3:O1228)</f>
        <v>-2.7429059234718545E-2</v>
      </c>
      <c r="G7" s="36" t="s">
        <v>9</v>
      </c>
      <c r="H7" s="39">
        <f>SLOPE('RAW Data '!G3:G1228,'RAW Data '!O3:O1228)</f>
        <v>8.2733404086465442E-2</v>
      </c>
      <c r="J7" s="25" t="s">
        <v>9</v>
      </c>
      <c r="K7" s="28">
        <f>SLOPE('RAW Data '!K3:K1228,'RAW Data '!O3:O1228)</f>
        <v>4.0705712136370378E-2</v>
      </c>
    </row>
    <row r="8" spans="1:13" x14ac:dyDescent="0.25">
      <c r="D8" s="18" t="s">
        <v>10</v>
      </c>
      <c r="E8" s="22">
        <v>6.9800000000000001E-2</v>
      </c>
      <c r="G8" s="36" t="s">
        <v>10</v>
      </c>
      <c r="H8" s="40">
        <v>6.9800000000000001E-2</v>
      </c>
      <c r="J8" s="25" t="s">
        <v>10</v>
      </c>
      <c r="K8" s="29">
        <v>6.9800000000000001E-2</v>
      </c>
    </row>
    <row r="9" spans="1:13" x14ac:dyDescent="0.25">
      <c r="D9" s="18" t="s">
        <v>11</v>
      </c>
      <c r="E9" s="22">
        <f>E8+E7*(B6-E8)</f>
        <v>6.5185458758497794E-2</v>
      </c>
      <c r="G9" s="36" t="s">
        <v>11</v>
      </c>
      <c r="H9" s="40">
        <f>H8+H7*(B6-H8)</f>
        <v>8.371869483892562E-2</v>
      </c>
      <c r="J9" s="25" t="s">
        <v>11</v>
      </c>
      <c r="K9" s="29">
        <f>K8+K7*(B6-K8)</f>
        <v>7.664814545809287E-2</v>
      </c>
    </row>
    <row r="10" spans="1:13" x14ac:dyDescent="0.25">
      <c r="D10" s="18"/>
      <c r="E10" s="18"/>
      <c r="G10" s="36"/>
      <c r="H10" s="36"/>
      <c r="J10" s="25"/>
      <c r="K10" s="25"/>
    </row>
    <row r="11" spans="1:13" x14ac:dyDescent="0.25">
      <c r="D11" s="18" t="s">
        <v>12</v>
      </c>
      <c r="E11" s="23">
        <f>_xlfn.STDEV.P('RAW Data '!C3:C1228,SQRT(252))</f>
        <v>0.45305028713263912</v>
      </c>
      <c r="G11" s="36" t="s">
        <v>12</v>
      </c>
      <c r="H11" s="41">
        <f>_xlfn.STDEV.P('RAW Data '!G3:G1228,SQRT(252))</f>
        <v>0.4530727352135796</v>
      </c>
      <c r="J11" s="25" t="s">
        <v>12</v>
      </c>
      <c r="K11" s="30">
        <f>_xlfn.STDEV.P('RAW Data '!K3:K1228,SQRT(252))</f>
        <v>0.45306877101043419</v>
      </c>
    </row>
    <row r="12" spans="1:13" x14ac:dyDescent="0.25">
      <c r="D12" s="18" t="s">
        <v>13</v>
      </c>
      <c r="E12" s="22">
        <f>E6-E9</f>
        <v>0.17285003200384363</v>
      </c>
      <c r="G12" s="36" t="s">
        <v>13</v>
      </c>
      <c r="H12" s="40">
        <f>B6-H9</f>
        <v>0.15431679592341579</v>
      </c>
      <c r="J12" s="25" t="s">
        <v>13</v>
      </c>
      <c r="K12" s="29">
        <f>B6-K9</f>
        <v>0.16138734530424856</v>
      </c>
    </row>
    <row r="13" spans="1:13" x14ac:dyDescent="0.25">
      <c r="D13" s="18" t="s">
        <v>14</v>
      </c>
      <c r="E13" s="24">
        <f>(E6-E8)/E11</f>
        <v>0.37133955223184151</v>
      </c>
      <c r="G13" s="36" t="s">
        <v>14</v>
      </c>
      <c r="H13" s="42">
        <f>(H6-H8)/H11</f>
        <v>0.25964173460979761</v>
      </c>
      <c r="J13" s="25" t="s">
        <v>14</v>
      </c>
      <c r="K13" s="31">
        <f>(K6-K8)/K11</f>
        <v>0.31376263275152011</v>
      </c>
    </row>
    <row r="14" spans="1:13" x14ac:dyDescent="0.25">
      <c r="D14" s="18" t="s">
        <v>15</v>
      </c>
      <c r="E14" s="24">
        <f>(E6-E8)/E7</f>
        <v>-6.1334765192892959</v>
      </c>
      <c r="G14" s="36" t="s">
        <v>15</v>
      </c>
      <c r="H14" s="42">
        <f>(H6-H9)/H7</f>
        <v>1.2536398952947374</v>
      </c>
      <c r="J14" s="25" t="s">
        <v>15</v>
      </c>
      <c r="K14" s="31">
        <f>(K6-K8)/K7</f>
        <v>3.492287518112565</v>
      </c>
    </row>
  </sheetData>
  <mergeCells count="4">
    <mergeCell ref="J2:K2"/>
    <mergeCell ref="A2:B2"/>
    <mergeCell ref="D2:E2"/>
    <mergeCell ref="G2:H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tabSelected="1" zoomScaleNormal="100" workbookViewId="0">
      <selection activeCell="A15" sqref="A15:D15"/>
    </sheetView>
  </sheetViews>
  <sheetFormatPr defaultColWidth="8.75" defaultRowHeight="13.8" x14ac:dyDescent="0.25"/>
  <cols>
    <col min="1" max="1" width="39.25" bestFit="1" customWidth="1"/>
    <col min="2" max="2" width="22" customWidth="1"/>
    <col min="3" max="3" width="26" customWidth="1"/>
    <col min="4" max="4" width="22" customWidth="1"/>
  </cols>
  <sheetData>
    <row r="1" spans="1:4" ht="18" x14ac:dyDescent="0.35">
      <c r="A1" s="47" t="s">
        <v>16</v>
      </c>
      <c r="B1" s="47"/>
      <c r="C1" s="47"/>
      <c r="D1" s="47"/>
    </row>
    <row r="2" spans="1:4" ht="14.4" x14ac:dyDescent="0.3">
      <c r="A2" s="48" t="s">
        <v>17</v>
      </c>
      <c r="B2" s="48"/>
      <c r="C2" s="48"/>
      <c r="D2" s="48"/>
    </row>
    <row r="4" spans="1:4" x14ac:dyDescent="0.25">
      <c r="A4" s="12" t="s">
        <v>18</v>
      </c>
      <c r="B4" s="12" t="s">
        <v>0</v>
      </c>
      <c r="C4" s="12" t="s">
        <v>1</v>
      </c>
      <c r="D4" s="12" t="s">
        <v>2</v>
      </c>
    </row>
    <row r="5" spans="1:4" x14ac:dyDescent="0.25">
      <c r="A5" s="13" t="s">
        <v>8</v>
      </c>
      <c r="B5" s="14">
        <f>Calcualtions!E6</f>
        <v>0.23803549076234143</v>
      </c>
      <c r="C5" s="14">
        <f>Calcualtions!H6</f>
        <v>0.18743659087525935</v>
      </c>
      <c r="D5" s="14">
        <f>Calcualtions!K6</f>
        <v>0.21195605040972942</v>
      </c>
    </row>
    <row r="6" spans="1:4" x14ac:dyDescent="0.25">
      <c r="A6" s="13" t="s">
        <v>19</v>
      </c>
      <c r="B6" s="14">
        <f>Calcualtions!E11</f>
        <v>0.45305028713263912</v>
      </c>
      <c r="C6" s="14">
        <f>Calcualtions!H11</f>
        <v>0.4530727352135796</v>
      </c>
      <c r="D6" s="14">
        <f>Calcualtions!K11</f>
        <v>0.45306877101043419</v>
      </c>
    </row>
    <row r="7" spans="1:4" x14ac:dyDescent="0.25">
      <c r="A7" s="13" t="s">
        <v>9</v>
      </c>
      <c r="B7" s="15">
        <f>Calcualtions!E7</f>
        <v>-2.7429059234718545E-2</v>
      </c>
      <c r="C7" s="15">
        <f>Calcualtions!H7</f>
        <v>8.2733404086465442E-2</v>
      </c>
      <c r="D7" s="15">
        <f>Calcualtions!K7</f>
        <v>4.0705712136370378E-2</v>
      </c>
    </row>
    <row r="8" spans="1:4" x14ac:dyDescent="0.25">
      <c r="A8" s="13" t="s">
        <v>20</v>
      </c>
      <c r="B8" s="14">
        <f>Calcualtions!E9</f>
        <v>6.5185458758497794E-2</v>
      </c>
      <c r="C8" s="14">
        <f>Calcualtions!H9</f>
        <v>8.371869483892562E-2</v>
      </c>
      <c r="D8" s="14">
        <f>Calcualtions!K9</f>
        <v>7.664814545809287E-2</v>
      </c>
    </row>
    <row r="9" spans="1:4" x14ac:dyDescent="0.25">
      <c r="A9" s="13" t="s">
        <v>21</v>
      </c>
      <c r="B9" s="14">
        <f>Calcualtions!E12</f>
        <v>0.17285003200384363</v>
      </c>
      <c r="C9" s="14">
        <f>Calcualtions!H12</f>
        <v>0.15431679592341579</v>
      </c>
      <c r="D9" s="14">
        <f>Calcualtions!K12</f>
        <v>0.16138734530424856</v>
      </c>
    </row>
    <row r="10" spans="1:4" x14ac:dyDescent="0.25">
      <c r="A10" s="13" t="s">
        <v>14</v>
      </c>
      <c r="B10" s="15">
        <f>Calcualtions!E13</f>
        <v>0.37133955223184151</v>
      </c>
      <c r="C10" s="15">
        <f>Calcualtions!H13</f>
        <v>0.25964173460979761</v>
      </c>
      <c r="D10" s="15">
        <f>Calcualtions!K13</f>
        <v>0.31376263275152011</v>
      </c>
    </row>
    <row r="11" spans="1:4" x14ac:dyDescent="0.25">
      <c r="A11" s="13" t="s">
        <v>15</v>
      </c>
      <c r="B11" s="15">
        <f>Calcualtions!E14</f>
        <v>-6.1334765192892959</v>
      </c>
      <c r="C11" s="15">
        <f>Calcualtions!H14</f>
        <v>1.2536398952947374</v>
      </c>
      <c r="D11" s="15">
        <f>Calcualtions!K14</f>
        <v>3.492287518112565</v>
      </c>
    </row>
    <row r="13" spans="1:4" x14ac:dyDescent="0.25">
      <c r="A13" s="16" t="s">
        <v>22</v>
      </c>
      <c r="B13" s="49" t="str">
        <f>INDEX(B4:D4,MATCH(MAX(B10:D10),B10:D10,0))</f>
        <v>SBI Contra Fund</v>
      </c>
      <c r="C13" s="49"/>
      <c r="D13" s="49"/>
    </row>
    <row r="15" spans="1:4" ht="30" customHeight="1" x14ac:dyDescent="0.25">
      <c r="A15" s="50"/>
      <c r="B15" s="50"/>
      <c r="C15" s="50"/>
      <c r="D15" s="50"/>
    </row>
  </sheetData>
  <mergeCells count="4">
    <mergeCell ref="A1:D1"/>
    <mergeCell ref="A2:D2"/>
    <mergeCell ref="B13:D13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Calcualtions</vt:lpstr>
      <vt:lpstr>Comparative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prajval srivastava</dc:creator>
  <dc:description/>
  <cp:lastModifiedBy>prajval srivastava</cp:lastModifiedBy>
  <cp:revision>0</cp:revision>
  <dcterms:created xsi:type="dcterms:W3CDTF">2026-09-02T17:43:35Z</dcterms:created>
  <dcterms:modified xsi:type="dcterms:W3CDTF">2026-09-03T20:57:57Z</dcterms:modified>
  <dc:language>en-US</dc:language>
</cp:coreProperties>
</file>